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b33cbdee3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and QA" sheetId="1" r:id="R3dc0e55179df4ef3"/>
    <x:sheet xmlns:r="http://schemas.openxmlformats.org/officeDocument/2006/relationships" name="Fatigue records" sheetId="2" r:id="Rc8d862e687cd47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5">
    <x:font>
      <x:sz val="11"/>
      <x:name val="Carlito"/>
    </x:font>
    <x:font>
      <x:sz val="10"/>
      <x:color rgb="FF17212B"/>
      <x:name val="Arial"/>
    </x:font>
    <x:font>
      <x:b/>
      <x:sz val="10"/>
      <x:color rgb="FFFFFFFF"/>
      <x:name val="Arial"/>
    </x:font>
    <x:font>
      <x:b/>
      <x:sz val="15"/>
      <x:color rgb="FF20364B"/>
      <x:name val="Arial"/>
    </x:font>
    <x:font>
      <x:b/>
      <x:sz val="10"/>
      <x:color rgb="FF20364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FFF0D8"/>
      </x:patternFill>
    </x:fill>
    <x:fill>
      <x:patternFill patternType="solid">
        <x:fgColor rgb="FFE8EFF5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e413485d854902" /><Relationship Type="http://schemas.openxmlformats.org/officeDocument/2006/relationships/theme" Target="/xl/theme/theme1.xml" Id="R93fa8d6982a544ff" /><Relationship Type="http://schemas.openxmlformats.org/officeDocument/2006/relationships/sharedStrings" Target="/xl/sharedStrings.xml" Id="Rafacc5da770d407b" /><Relationship Type="http://schemas.openxmlformats.org/officeDocument/2006/relationships/worksheet" Target="/xl/worksheets/sheet1.xml" Id="R3dc0e55179df4ef3" /><Relationship Type="http://schemas.openxmlformats.org/officeDocument/2006/relationships/worksheet" Target="/xl/worksheets/sheet2.xml" Id="Rc8d862e687cd47a2" /></Relationships>
</file>

<file path=xl/tables/table1.xml><?xml version="1.0" encoding="utf-8"?>
<x:table xmlns:x="http://schemas.openxmlformats.org/spreadsheetml/2006/main" id="1" name="WuFatigueRecords" displayName="WuFatigueRecords" ref="A1:V42" headerRowCount="1" totalsRowCount="0" totalsRowShown="0">
  <x:tableColumns count="22">
    <x:tableColumn id="1" name="specimen_id"/>
    <x:tableColumn id="2" name="build_orientation"/>
    <x:tableColumn id="3" name="sigma_max_MPa"/>
    <x:tableColumn id="4" name="delta_sigma_MPa"/>
    <x:tableColumn id="5" name="sigma_a_MPa_calc"/>
    <x:tableColumn id="6" name="sigma_mean_MPa_calc"/>
    <x:tableColumn id="7" name="stress_ratio_R"/>
    <x:tableColumn id="8" name="cycles_reported_text"/>
    <x:tableColumn id="9" name="cycles_lower_bound"/>
    <x:tableColumn id="10" name="failure_event_1"/>
    <x:tableColumn id="11" name="outcome"/>
    <x:tableColumn id="12" name="censoring_note"/>
    <x:tableColumn id="13" name="HCF_frequency_Hz"/>
    <x:tableColumn id="14" name="pretest_CT_reported"/>
    <x:tableColumn id="15" name="specimen_matched_CT_numeric"/>
    <x:tableColumn id="16" name="heat_treatment"/>
    <x:tableColumn id="17" name="surface_finish"/>
    <x:tableColumn id="18" name="stress_consistency_check"/>
    <x:tableColumn id="19" name="analysis_status"/>
    <x:tableColumn id="20" name="source_location"/>
    <x:tableColumn id="21" name="experimental_study_DOI"/>
    <x:tableColumn id="22" name="record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6776e92cfc4cff" /></Relationships>
</file>

<file path=xl/worksheets/sheet1.xml><?xml version="1.0" encoding="utf-8"?>
<x:worksheet xmlns:x="http://schemas.openxmlformats.org/spreadsheetml/2006/main">
  <x:sheetPr>
    <x:tabColor rgb="FF718698"/>
  </x:sheetPr>
  <x:sheetViews>
    <x:sheetView showGridLines="0" workbookViewId="0"/>
  </x:sheetViews>
  <x:sheetFormatPr defaultRowHeight="15"/>
  <x:cols>
    <x:col min="1" max="1" width="27" hidden="0" customWidth="1"/>
    <x:col min="2" max="2" width="110" hidden="0" customWidth="1"/>
  </x:cols>
  <x:sheetData>
    <x:row r="2">
      <x:c r="A2" s="13" t="str">
        <x:v>Paper #7 | Wu et al. experimental extraction</x:v>
      </x:c>
    </x:row>
    <x:row r="4" ht="32" customHeight="1">
      <x:c r="A4" s="14" t="str">
        <x:v>Source</x:v>
      </x:c>
      <x:c r="B4" s="15" t="str">
        <x:v>Wu et al., International Journal of Fatigue 151 (2021) 106317; DOI 10.1016/j.ijfatigue.2021.106317</x:v>
      </x:c>
    </x:row>
    <x:row r="5" ht="32" customHeight="1">
      <x:c r="A5" s="14" t="str">
        <x:v>Drive PDF</x:v>
      </x:c>
      <x:c r="B5" s="15" t="str">
        <x:v>https://drive.google.com/file/d/1Q2eugFe2f885aXxs_6_TJ3reeRFK8ncl/view</x:v>
      </x:c>
    </x:row>
    <x:row r="6" ht="32" customHeight="1">
      <x:c r="A6" s="14" t="str">
        <x:v>Source table</x:v>
      </x:c>
      <x:c r="B6" s="15" t="str">
        <x:v>Table 4 on PDF page 7, transcribed and checked against the rendered PDF. Protocol: Sections 2.1-2.3 on PDF pages 2-4.</x:v>
      </x:c>
    </x:row>
    <x:row r="7" ht="32" customHeight="1">
      <x:c r="A7" s="14" t="str">
        <x:v>Independent specimens</x:v>
      </x:c>
      <x:c r="B7" s="15" t="str">
        <x:v>41 unique HCF specimens: 22 V-HCF and 19 H-HCF. No specimen ID repeats within Table 4.</x:v>
      </x:c>
    </x:row>
    <x:row r="8" ht="32" customHeight="1">
      <x:c r="A8" s="14" t="str">
        <x:v>Outcomes</x:v>
      </x:c>
      <x:c r="B8" s="15" t="str">
        <x:v>33 failures with exact cycles; 8 runouts printed as &gt;10,000,000. No synthetic rows.</x:v>
      </x:c>
    </x:row>
    <x:row r="9" ht="32" customHeight="1">
      <x:c r="A9" s="14" t="str">
        <x:v>Stress columns</x:v>
      </x:c>
      <x:c r="B9" s="15" t="str">
        <x:v>Table 4 gives sigma_max and stress range delta_sigma. Derived sigma_a = delta_sigma/2 and mean stress = sigma_max - delta_sigma/2. All 41 rows satisfy delta_sigma ~ (1-R)*sigma_max.</x:v>
      </x:c>
    </x:row>
    <x:row r="10" ht="32" customHeight="1">
      <x:c r="A10" s="14" t="str">
        <x:v>Load protocol</x:v>
      </x:c>
      <x:c r="B10" s="15" t="str">
        <x:v>Uniaxial, constant-amplitude load control, R=0.1 and 85 Hz for HCF. The 10 Hz frequency elsewhere in the paper is for crack-growth threshold tests, not these rows.</x:v>
      </x:c>
    </x:row>
    <x:row r="11" ht="32" customHeight="1">
      <x:c r="A11" s="14" t="str">
        <x:v>Production</x:v>
      </x:c>
      <x:c r="B11" s="15" t="str">
        <x:v>LPBF AlSi10Mg test pieces cut from a printed wall/block; vertical means load along build direction, horizontal means load perpendicular to build direction.</x:v>
      </x:c>
    </x:row>
    <x:row r="12" ht="32" customHeight="1">
      <x:c r="A12" s="14" t="str">
        <x:v>Post-processing</x:v>
      </x:c>
      <x:c r="B12" s="15" t="str">
        <x:v>Block stress-relieved at 300 C for about 2 h before machining, naturally aged two weeks; all specimens ground and polished before testing.</x:v>
      </x:c>
    </x:row>
    <x:row r="13" ht="32" customHeight="1">
      <x:c r="A13" s="16" t="str">
        <x:v>Censoring rule</x:v>
      </x:c>
      <x:c r="B13" s="17" t="str">
        <x:v>For &gt;10,000,000, preserve original string and failure_event=0; cycles_lower_bound=10,000,000 is a censoring bound, not the exact observed failure cycle.</x:v>
      </x:c>
    </x:row>
    <x:row r="14" ht="32" customHeight="1">
      <x:c r="A14" s="16" t="str">
        <x:v>CT availability</x:v>
      </x:c>
      <x:c r="B14" s="17" t="str">
        <x:v>All HCF specimens were CT scanned before testing; 9 micrometre voxels, with quantitative segmentation reported for defects &gt;27 micrometres equivalent diameter.</x:v>
      </x:c>
    </x:row>
    <x:row r="15" ht="32" customHeight="1">
      <x:c r="A15" s="16" t="str">
        <x:v>CT limitation</x:v>
      </x:c>
      <x:c r="B15" s="17" t="str">
        <x:v>Table 4 contains no specimen-matched numerical CT defect descriptor; leave it blank. Group-level figures and postfracture crack-initiating sizes must not be attached to an individual specimen without a verified ID link.</x:v>
      </x:c>
    </x:row>
    <x:row r="16" ht="32" customHeight="1">
      <x:c r="A16" s="14" t="str">
        <x:v>Source lineage</x:v>
      </x:c>
      <x:c r="B16" s="15" t="str">
        <x:v>A distinct original experimental campaign from Romano 2018; one unique cohort. Do not copy this Table 4 a second time from review or modelling papers.</x:v>
      </x:c>
    </x:row>
    <x:row r="17" ht="32" customHeight="1">
      <x:c r="A17" s="18" t="str">
        <x:v>Use status</x:v>
      </x:c>
      <x:c r="B17" s="19" t="str">
        <x:v>41 candidate stress-life records; 0 specimen-matched numerical CT predictor records extracted. Eligible for pooling after cross-study harmonization and provenance checks.</x:v>
      </x:c>
    </x:row>
    <x:row r="18" ht="32" customHeight="1">
      <x:c r="A18" s="14" t="str">
        <x:v>Journal rigor</x:v>
      </x:c>
      <x:c r="B18" s="15" t="str">
        <x:v>Keep failures and censoring separate. Normalize stresses by documented definitions, validate on held-out studies, and keep synthetic rows distinct from experimental specimens.</x:v>
      </x:c>
    </x:row>
    <x:row r="19" ht="32" customHeight="1">
      <x:c r="A19" s="14" t="str">
        <x:v>Source completeness</x:v>
      </x:c>
      <x:c r="B19" s="15" t="str">
        <x:v>This workbook is a faithful transcription of Table 4; it does not infer unreported CT values, process-specific measurements, or precise stopping cycles beyond the printed inequality.</x:v>
      </x:c>
    </x:row>
    <x:row r="20" ht="32" customHeight="1">
      <x:c r="A20" s="14" t="str">
        <x:v>Next integration</x:v>
      </x:c>
      <x:c r="B20" s="15" t="str">
        <x:v>Once Romano 2018 first-hand source is verified, the two source ledgers can be pooled by study ID into a harmonized master; do not treat studies as interchangeable without conditioning.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22" hidden="0" customWidth="1"/>
    <x:col min="9" max="9" width="19" hidden="0" customWidth="1"/>
    <x:col min="10" max="10" width="19" hidden="0" customWidth="1"/>
    <x:col min="11" max="11" width="19" hidden="0" customWidth="1"/>
    <x:col min="12" max="12" width="73" hidden="0" customWidth="1"/>
    <x:col min="13" max="13" width="26" hidden="0" customWidth="1"/>
    <x:col min="14" max="14" width="26" hidden="0" customWidth="1"/>
    <x:col min="15" max="15" width="26" hidden="0" customWidth="1"/>
    <x:col min="16" max="16" width="54" hidden="0" customWidth="1"/>
    <x:col min="17" max="17" width="54" hidden="0" customWidth="1"/>
    <x:col min="18" max="18" width="24" hidden="0" customWidth="1"/>
    <x:col min="19" max="19" width="66" hidden="0" customWidth="1"/>
    <x:col min="20" max="20" width="38" hidden="0" customWidth="1"/>
    <x:col min="21" max="21" width="38" hidden="0" customWidth="1"/>
    <x:col min="22" max="22" width="70" hidden="0" customWidth="1"/>
  </x:cols>
  <x:sheetData>
    <x:row r="1" ht="38" customHeight="1">
      <x:c r="A1" s="5" t="str">
        <x:v>specimen_id</x:v>
      </x:c>
      <x:c r="B1" s="5" t="str">
        <x:v>build_orientation</x:v>
      </x:c>
      <x:c r="C1" s="5" t="str">
        <x:v>sigma_max_MPa</x:v>
      </x:c>
      <x:c r="D1" s="5" t="str">
        <x:v>delta_sigma_MPa</x:v>
      </x:c>
      <x:c r="E1" s="5" t="str">
        <x:v>sigma_a_MPa_calc</x:v>
      </x:c>
      <x:c r="F1" s="5" t="str">
        <x:v>sigma_mean_MPa_calc</x:v>
      </x:c>
      <x:c r="G1" s="5" t="str">
        <x:v>stress_ratio_R</x:v>
      </x:c>
      <x:c r="H1" s="5" t="str">
        <x:v>cycles_reported_text</x:v>
      </x:c>
      <x:c r="I1" s="5" t="str">
        <x:v>cycles_lower_bound</x:v>
      </x:c>
      <x:c r="J1" s="5" t="str">
        <x:v>failure_event_1</x:v>
      </x:c>
      <x:c r="K1" s="5" t="str">
        <x:v>outcome</x:v>
      </x:c>
      <x:c r="L1" s="5" t="str">
        <x:v>censoring_note</x:v>
      </x:c>
      <x:c r="M1" s="5" t="str">
        <x:v>HCF_frequency_Hz</x:v>
      </x:c>
      <x:c r="N1" s="5" t="str">
        <x:v>pretest_CT_reported</x:v>
      </x:c>
      <x:c r="O1" s="5" t="str">
        <x:v>specimen_matched_CT_numeric</x:v>
      </x:c>
      <x:c r="P1" s="5" t="str">
        <x:v>heat_treatment</x:v>
      </x:c>
      <x:c r="Q1" s="5" t="str">
        <x:v>surface_finish</x:v>
      </x:c>
      <x:c r="R1" s="5" t="str">
        <x:v>stress_consistency_check</x:v>
      </x:c>
      <x:c r="S1" s="5" t="str">
        <x:v>analysis_status</x:v>
      </x:c>
      <x:c r="T1" s="5" t="str">
        <x:v>source_location</x:v>
      </x:c>
      <x:c r="U1" s="5" t="str">
        <x:v>experimental_study_DOI</x:v>
      </x:c>
      <x:c r="V1" s="5" t="str">
        <x:v>record_note</x:v>
      </x:c>
    </x:row>
    <x:row r="2" ht="26" customHeight="1">
      <x:c r="A2" s="10" t="str">
        <x:v>V-HCF04</x:v>
      </x:c>
      <x:c r="B2" s="10" t="str">
        <x:v>Vertical</x:v>
      </x:c>
      <x:c r="C2" s="11" t="n">
        <x:v>140</x:v>
      </x:c>
      <x:c r="D2" s="11" t="n">
        <x:v>126</x:v>
      </x:c>
      <x:c r="E2" s="11" t="n">
        <x:f>D2/2</x:f>
        <x:v>63</x:v>
      </x:c>
      <x:c r="F2" s="11" t="n">
        <x:f>C2-D2/2</x:f>
        <x:v>77</x:v>
      </x:c>
      <x:c r="G2" s="11" t="n">
        <x:v>0.1</x:v>
      </x:c>
      <x:c r="H2" s="10" t="str">
        <x:v>46,100</x:v>
      </x:c>
      <x:c r="I2" s="12" t="n">
        <x:v>46100</x:v>
      </x:c>
      <x:c r="J2" s="12" t="n">
        <x:v>1</x:v>
      </x:c>
      <x:c r="K2" s="10" t="str">
        <x:v>Failed</x:v>
      </x:c>
      <x:c r="L2" s="10" t="str">
        <x:v>Exact cycles to failure</x:v>
      </x:c>
      <x:c r="M2" s="12" t="n">
        <x:v>85</x:v>
      </x:c>
      <x:c r="N2" s="10" t="str">
        <x:v>Yes</x:v>
      </x:c>
      <x:c r="O2" s="10"/>
      <x:c r="P2" s="10" t="str">
        <x:v>Block stress relief: 300 C / 2 h; natural aging ~2 weeks</x:v>
      </x:c>
      <x:c r="Q2" s="10" t="str">
        <x:v>Ground and polished</x:v>
      </x:c>
      <x:c r="R2" s="10" t="str">
        <x:f>IF(ABS(D2-C2*(1-G2))&lt;0.02,"Matches R","Review stress columns")</x:f>
        <x:v>Matches R</x:v>
      </x:c>
      <x:c r="S2" s="10" t="str">
        <x:v>Candidate: experimental stress-life record; no matched numeric CT feature</x:v>
      </x:c>
      <x:c r="T2" s="10" t="str">
        <x:v>Wu et al. 2021, Table 4, PDF p. 7</x:v>
      </x:c>
      <x:c r="U2" s="10" t="str">
        <x:v>10.1016/j.ijfatigue.2021.106317</x:v>
      </x:c>
      <x:c r="V2" s="10" t="str"/>
    </x:row>
    <x:row r="3" ht="26" customHeight="1">
      <x:c r="A3" s="10" t="str">
        <x:v>H-HCF19</x:v>
      </x:c>
      <x:c r="B3" s="10" t="str">
        <x:v>Horizontal</x:v>
      </x:c>
      <x:c r="C3" s="11" t="n">
        <x:v>200</x:v>
      </x:c>
      <x:c r="D3" s="11" t="n">
        <x:v>180</x:v>
      </x:c>
      <x:c r="E3" s="11" t="n">
        <x:f>D3/2</x:f>
        <x:v>90</x:v>
      </x:c>
      <x:c r="F3" s="11" t="n">
        <x:f>C3-D3/2</x:f>
        <x:v>110</x:v>
      </x:c>
      <x:c r="G3" s="11" t="n">
        <x:v>0.1</x:v>
      </x:c>
      <x:c r="H3" s="10" t="str">
        <x:v>125000</x:v>
      </x:c>
      <x:c r="I3" s="12" t="n">
        <x:v>125000</x:v>
      </x:c>
      <x:c r="J3" s="12" t="n">
        <x:v>1</x:v>
      </x:c>
      <x:c r="K3" s="10" t="str">
        <x:v>Failed</x:v>
      </x:c>
      <x:c r="L3" s="10" t="str">
        <x:v>Exact cycles to failure</x:v>
      </x:c>
      <x:c r="M3" s="12" t="n">
        <x:v>85</x:v>
      </x:c>
      <x:c r="N3" s="10" t="str">
        <x:v>Yes</x:v>
      </x:c>
      <x:c r="O3" s="10"/>
      <x:c r="P3" s="10" t="str">
        <x:v>Block stress relief: 300 C / 2 h; natural aging ~2 weeks</x:v>
      </x:c>
      <x:c r="Q3" s="10" t="str">
        <x:v>Ground and polished</x:v>
      </x:c>
      <x:c r="R3" s="10" t="str">
        <x:f>IF(ABS(D3-C3*(1-G3))&lt;0.02,"Matches R","Review stress columns")</x:f>
        <x:v>Matches R</x:v>
      </x:c>
      <x:c r="S3" s="10" t="str">
        <x:v>Candidate: experimental stress-life record; no matched numeric CT feature</x:v>
      </x:c>
      <x:c r="T3" s="10" t="str">
        <x:v>Wu et al. 2021, Table 4, PDF p. 7</x:v>
      </x:c>
      <x:c r="U3" s="10" t="str">
        <x:v>10.1016/j.ijfatigue.2021.106317</x:v>
      </x:c>
      <x:c r="V3" s="10" t="str"/>
    </x:row>
    <x:row r="4" ht="26" customHeight="1">
      <x:c r="A4" s="10" t="str">
        <x:v>V-HCF09</x:v>
      </x:c>
      <x:c r="B4" s="10" t="str">
        <x:v>Vertical</x:v>
      </x:c>
      <x:c r="C4" s="11" t="n">
        <x:v>140</x:v>
      </x:c>
      <x:c r="D4" s="11" t="n">
        <x:v>126</x:v>
      </x:c>
      <x:c r="E4" s="11" t="n">
        <x:f>D4/2</x:f>
        <x:v>63</x:v>
      </x:c>
      <x:c r="F4" s="11" t="n">
        <x:f>C4-D4/2</x:f>
        <x:v>77</x:v>
      </x:c>
      <x:c r="G4" s="11" t="n">
        <x:v>0.1</x:v>
      </x:c>
      <x:c r="H4" s="10" t="str">
        <x:v>56,200</x:v>
      </x:c>
      <x:c r="I4" s="12" t="n">
        <x:v>56200</x:v>
      </x:c>
      <x:c r="J4" s="12" t="n">
        <x:v>1</x:v>
      </x:c>
      <x:c r="K4" s="10" t="str">
        <x:v>Failed</x:v>
      </x:c>
      <x:c r="L4" s="10" t="str">
        <x:v>Exact cycles to failure</x:v>
      </x:c>
      <x:c r="M4" s="12" t="n">
        <x:v>85</x:v>
      </x:c>
      <x:c r="N4" s="10" t="str">
        <x:v>Yes</x:v>
      </x:c>
      <x:c r="O4" s="10"/>
      <x:c r="P4" s="10" t="str">
        <x:v>Block stress relief: 300 C / 2 h; natural aging ~2 weeks</x:v>
      </x:c>
      <x:c r="Q4" s="10" t="str">
        <x:v>Ground and polished</x:v>
      </x:c>
      <x:c r="R4" s="10" t="str">
        <x:f>IF(ABS(D4-C4*(1-G4))&lt;0.02,"Matches R","Review stress columns")</x:f>
        <x:v>Matches R</x:v>
      </x:c>
      <x:c r="S4" s="10" t="str">
        <x:v>Candidate: experimental stress-life record; no matched numeric CT feature</x:v>
      </x:c>
      <x:c r="T4" s="10" t="str">
        <x:v>Wu et al. 2021, Table 4, PDF p. 7</x:v>
      </x:c>
      <x:c r="U4" s="10" t="str">
        <x:v>10.1016/j.ijfatigue.2021.106317</x:v>
      </x:c>
      <x:c r="V4" s="10" t="str"/>
    </x:row>
    <x:row r="5" ht="26" customHeight="1">
      <x:c r="A5" s="10" t="str">
        <x:v>H-HCF18</x:v>
      </x:c>
      <x:c r="B5" s="10" t="str">
        <x:v>Horizontal</x:v>
      </x:c>
      <x:c r="C5" s="11" t="n">
        <x:v>200</x:v>
      </x:c>
      <x:c r="D5" s="11" t="n">
        <x:v>180</x:v>
      </x:c>
      <x:c r="E5" s="11" t="n">
        <x:f>D5/2</x:f>
        <x:v>90</x:v>
      </x:c>
      <x:c r="F5" s="11" t="n">
        <x:f>C5-D5/2</x:f>
        <x:v>110</x:v>
      </x:c>
      <x:c r="G5" s="11" t="n">
        <x:v>0.1</x:v>
      </x:c>
      <x:c r="H5" s="10" t="str">
        <x:v>152000</x:v>
      </x:c>
      <x:c r="I5" s="12" t="n">
        <x:v>152000</x:v>
      </x:c>
      <x:c r="J5" s="12" t="n">
        <x:v>1</x:v>
      </x:c>
      <x:c r="K5" s="10" t="str">
        <x:v>Failed</x:v>
      </x:c>
      <x:c r="L5" s="10" t="str">
        <x:v>Exact cycles to failure</x:v>
      </x:c>
      <x:c r="M5" s="12" t="n">
        <x:v>85</x:v>
      </x:c>
      <x:c r="N5" s="10" t="str">
        <x:v>Yes</x:v>
      </x:c>
      <x:c r="O5" s="10"/>
      <x:c r="P5" s="10" t="str">
        <x:v>Block stress relief: 300 C / 2 h; natural aging ~2 weeks</x:v>
      </x:c>
      <x:c r="Q5" s="10" t="str">
        <x:v>Ground and polished</x:v>
      </x:c>
      <x:c r="R5" s="10" t="str">
        <x:f>IF(ABS(D5-C5*(1-G5))&lt;0.02,"Matches R","Review stress columns")</x:f>
        <x:v>Matches R</x:v>
      </x:c>
      <x:c r="S5" s="10" t="str">
        <x:v>Candidate: experimental stress-life record; no matched numeric CT feature</x:v>
      </x:c>
      <x:c r="T5" s="10" t="str">
        <x:v>Wu et al. 2021, Table 4, PDF p. 7</x:v>
      </x:c>
      <x:c r="U5" s="10" t="str">
        <x:v>10.1016/j.ijfatigue.2021.106317</x:v>
      </x:c>
      <x:c r="V5" s="10" t="str"/>
    </x:row>
    <x:row r="6" ht="26" customHeight="1">
      <x:c r="A6" s="10" t="str">
        <x:v>V-HCF02</x:v>
      </x:c>
      <x:c r="B6" s="10" t="str">
        <x:v>Vertical</x:v>
      </x:c>
      <x:c r="C6" s="11" t="n">
        <x:v>140</x:v>
      </x:c>
      <x:c r="D6" s="11" t="n">
        <x:v>126</x:v>
      </x:c>
      <x:c r="E6" s="11" t="n">
        <x:f>D6/2</x:f>
        <x:v>63</x:v>
      </x:c>
      <x:c r="F6" s="11" t="n">
        <x:f>C6-D6/2</x:f>
        <x:v>77</x:v>
      </x:c>
      <x:c r="G6" s="11" t="n">
        <x:v>0.1</x:v>
      </x:c>
      <x:c r="H6" s="10" t="str">
        <x:v>47,100</x:v>
      </x:c>
      <x:c r="I6" s="12" t="n">
        <x:v>47100</x:v>
      </x:c>
      <x:c r="J6" s="12" t="n">
        <x:v>1</x:v>
      </x:c>
      <x:c r="K6" s="10" t="str">
        <x:v>Failed</x:v>
      </x:c>
      <x:c r="L6" s="10" t="str">
        <x:v>Exact cycles to failure</x:v>
      </x:c>
      <x:c r="M6" s="12" t="n">
        <x:v>85</x:v>
      </x:c>
      <x:c r="N6" s="10" t="str">
        <x:v>Yes</x:v>
      </x:c>
      <x:c r="O6" s="10"/>
      <x:c r="P6" s="10" t="str">
        <x:v>Block stress relief: 300 C / 2 h; natural aging ~2 weeks</x:v>
      </x:c>
      <x:c r="Q6" s="10" t="str">
        <x:v>Ground and polished</x:v>
      </x:c>
      <x:c r="R6" s="10" t="str">
        <x:f>IF(ABS(D6-C6*(1-G6))&lt;0.02,"Matches R","Review stress columns")</x:f>
        <x:v>Matches R</x:v>
      </x:c>
      <x:c r="S6" s="10" t="str">
        <x:v>Candidate: experimental stress-life record; no matched numeric CT feature</x:v>
      </x:c>
      <x:c r="T6" s="10" t="str">
        <x:v>Wu et al. 2021, Table 4, PDF p. 7</x:v>
      </x:c>
      <x:c r="U6" s="10" t="str">
        <x:v>10.1016/j.ijfatigue.2021.106317</x:v>
      </x:c>
      <x:c r="V6" s="10" t="str"/>
    </x:row>
    <x:row r="7" ht="26" customHeight="1">
      <x:c r="A7" s="10" t="str">
        <x:v>H-HCF09</x:v>
      </x:c>
      <x:c r="B7" s="10" t="str">
        <x:v>Horizontal</x:v>
      </x:c>
      <x:c r="C7" s="11" t="n">
        <x:v>200</x:v>
      </x:c>
      <x:c r="D7" s="11" t="n">
        <x:v>180</x:v>
      </x:c>
      <x:c r="E7" s="11" t="n">
        <x:f>D7/2</x:f>
        <x:v>90</x:v>
      </x:c>
      <x:c r="F7" s="11" t="n">
        <x:f>C7-D7/2</x:f>
        <x:v>110</x:v>
      </x:c>
      <x:c r="G7" s="11" t="n">
        <x:v>0.1</x:v>
      </x:c>
      <x:c r="H7" s="10" t="str">
        <x:v>34800</x:v>
      </x:c>
      <x:c r="I7" s="12" t="n">
        <x:v>34800</x:v>
      </x:c>
      <x:c r="J7" s="12" t="n">
        <x:v>1</x:v>
      </x:c>
      <x:c r="K7" s="10" t="str">
        <x:v>Failed</x:v>
      </x:c>
      <x:c r="L7" s="10" t="str">
        <x:v>Exact cycles to failure</x:v>
      </x:c>
      <x:c r="M7" s="12" t="n">
        <x:v>85</x:v>
      </x:c>
      <x:c r="N7" s="10" t="str">
        <x:v>Yes</x:v>
      </x:c>
      <x:c r="O7" s="10"/>
      <x:c r="P7" s="10" t="str">
        <x:v>Block stress relief: 300 C / 2 h; natural aging ~2 weeks</x:v>
      </x:c>
      <x:c r="Q7" s="10" t="str">
        <x:v>Ground and polished</x:v>
      </x:c>
      <x:c r="R7" s="10" t="str">
        <x:f>IF(ABS(D7-C7*(1-G7))&lt;0.02,"Matches R","Review stress columns")</x:f>
        <x:v>Matches R</x:v>
      </x:c>
      <x:c r="S7" s="10" t="str">
        <x:v>Candidate: experimental stress-life record; no matched numeric CT feature</x:v>
      </x:c>
      <x:c r="T7" s="10" t="str">
        <x:v>Wu et al. 2021, Table 4, PDF p. 7</x:v>
      </x:c>
      <x:c r="U7" s="10" t="str">
        <x:v>10.1016/j.ijfatigue.2021.106317</x:v>
      </x:c>
      <x:c r="V7" s="10" t="str"/>
    </x:row>
    <x:row r="8" ht="26" customHeight="1">
      <x:c r="A8" s="10" t="str">
        <x:v>V-HCF22</x:v>
      </x:c>
      <x:c r="B8" s="10" t="str">
        <x:v>Vertical</x:v>
      </x:c>
      <x:c r="C8" s="11" t="n">
        <x:v>140</x:v>
      </x:c>
      <x:c r="D8" s="11" t="n">
        <x:v>126</x:v>
      </x:c>
      <x:c r="E8" s="11" t="n">
        <x:f>D8/2</x:f>
        <x:v>63</x:v>
      </x:c>
      <x:c r="F8" s="11" t="n">
        <x:f>C8-D8/2</x:f>
        <x:v>77</x:v>
      </x:c>
      <x:c r="G8" s="11" t="n">
        <x:v>0.1</x:v>
      </x:c>
      <x:c r="H8" s="10" t="str">
        <x:v>69,100</x:v>
      </x:c>
      <x:c r="I8" s="12" t="n">
        <x:v>69100</x:v>
      </x:c>
      <x:c r="J8" s="12" t="n">
        <x:v>1</x:v>
      </x:c>
      <x:c r="K8" s="10" t="str">
        <x:v>Failed</x:v>
      </x:c>
      <x:c r="L8" s="10" t="str">
        <x:v>Exact cycles to failure</x:v>
      </x:c>
      <x:c r="M8" s="12" t="n">
        <x:v>85</x:v>
      </x:c>
      <x:c r="N8" s="10" t="str">
        <x:v>Yes</x:v>
      </x:c>
      <x:c r="O8" s="10"/>
      <x:c r="P8" s="10" t="str">
        <x:v>Block stress relief: 300 C / 2 h; natural aging ~2 weeks</x:v>
      </x:c>
      <x:c r="Q8" s="10" t="str">
        <x:v>Ground and polished</x:v>
      </x:c>
      <x:c r="R8" s="10" t="str">
        <x:f>IF(ABS(D8-C8*(1-G8))&lt;0.02,"Matches R","Review stress columns")</x:f>
        <x:v>Matches R</x:v>
      </x:c>
      <x:c r="S8" s="10" t="str">
        <x:v>Candidate: experimental stress-life record; no matched numeric CT feature</x:v>
      </x:c>
      <x:c r="T8" s="10" t="str">
        <x:v>Wu et al. 2021, Table 4, PDF p. 7</x:v>
      </x:c>
      <x:c r="U8" s="10" t="str">
        <x:v>10.1016/j.ijfatigue.2021.106317</x:v>
      </x:c>
      <x:c r="V8" s="10" t="str"/>
    </x:row>
    <x:row r="9" ht="26" customHeight="1">
      <x:c r="A9" s="10" t="str">
        <x:v>H-HCF05</x:v>
      </x:c>
      <x:c r="B9" s="10" t="str">
        <x:v>Horizontal</x:v>
      </x:c>
      <x:c r="C9" s="11" t="n">
        <x:v>180</x:v>
      </x:c>
      <x:c r="D9" s="11" t="n">
        <x:v>162</x:v>
      </x:c>
      <x:c r="E9" s="11" t="n">
        <x:f>D9/2</x:f>
        <x:v>81</x:v>
      </x:c>
      <x:c r="F9" s="11" t="n">
        <x:f>C9-D9/2</x:f>
        <x:v>99</x:v>
      </x:c>
      <x:c r="G9" s="11" t="n">
        <x:v>0.1</x:v>
      </x:c>
      <x:c r="H9" s="10" t="str">
        <x:v>155000</x:v>
      </x:c>
      <x:c r="I9" s="12" t="n">
        <x:v>155000</x:v>
      </x:c>
      <x:c r="J9" s="12" t="n">
        <x:v>1</x:v>
      </x:c>
      <x:c r="K9" s="10" t="str">
        <x:v>Failed</x:v>
      </x:c>
      <x:c r="L9" s="10" t="str">
        <x:v>Exact cycles to failure</x:v>
      </x:c>
      <x:c r="M9" s="12" t="n">
        <x:v>85</x:v>
      </x:c>
      <x:c r="N9" s="10" t="str">
        <x:v>Yes</x:v>
      </x:c>
      <x:c r="O9" s="10"/>
      <x:c r="P9" s="10" t="str">
        <x:v>Block stress relief: 300 C / 2 h; natural aging ~2 weeks</x:v>
      </x:c>
      <x:c r="Q9" s="10" t="str">
        <x:v>Ground and polished</x:v>
      </x:c>
      <x:c r="R9" s="10" t="str">
        <x:f>IF(ABS(D9-C9*(1-G9))&lt;0.02,"Matches R","Review stress columns")</x:f>
        <x:v>Matches R</x:v>
      </x:c>
      <x:c r="S9" s="10" t="str">
        <x:v>Candidate: experimental stress-life record; no matched numeric CT feature</x:v>
      </x:c>
      <x:c r="T9" s="10" t="str">
        <x:v>Wu et al. 2021, Table 4, PDF p. 7</x:v>
      </x:c>
      <x:c r="U9" s="10" t="str">
        <x:v>10.1016/j.ijfatigue.2021.106317</x:v>
      </x:c>
      <x:c r="V9" s="10" t="str"/>
    </x:row>
    <x:row r="10" ht="26" customHeight="1">
      <x:c r="A10" s="10" t="str">
        <x:v>V-HCF07</x:v>
      </x:c>
      <x:c r="B10" s="10" t="str">
        <x:v>Vertical</x:v>
      </x:c>
      <x:c r="C10" s="11" t="n">
        <x:v>140</x:v>
      </x:c>
      <x:c r="D10" s="11" t="n">
        <x:v>126</x:v>
      </x:c>
      <x:c r="E10" s="11" t="n">
        <x:f>D10/2</x:f>
        <x:v>63</x:v>
      </x:c>
      <x:c r="F10" s="11" t="n">
        <x:f>C10-D10/2</x:f>
        <x:v>77</x:v>
      </x:c>
      <x:c r="G10" s="11" t="n">
        <x:v>0.1</x:v>
      </x:c>
      <x:c r="H10" s="10" t="str">
        <x:v>67,900</x:v>
      </x:c>
      <x:c r="I10" s="12" t="n">
        <x:v>67900</x:v>
      </x:c>
      <x:c r="J10" s="12" t="n">
        <x:v>1</x:v>
      </x:c>
      <x:c r="K10" s="10" t="str">
        <x:v>Failed</x:v>
      </x:c>
      <x:c r="L10" s="10" t="str">
        <x:v>Exact cycles to failure</x:v>
      </x:c>
      <x:c r="M10" s="12" t="n">
        <x:v>85</x:v>
      </x:c>
      <x:c r="N10" s="10" t="str">
        <x:v>Yes</x:v>
      </x:c>
      <x:c r="O10" s="10"/>
      <x:c r="P10" s="10" t="str">
        <x:v>Block stress relief: 300 C / 2 h; natural aging ~2 weeks</x:v>
      </x:c>
      <x:c r="Q10" s="10" t="str">
        <x:v>Ground and polished</x:v>
      </x:c>
      <x:c r="R10" s="10" t="str">
        <x:f>IF(ABS(D10-C10*(1-G10))&lt;0.02,"Matches R","Review stress columns")</x:f>
        <x:v>Matches R</x:v>
      </x:c>
      <x:c r="S10" s="10" t="str">
        <x:v>Candidate: experimental stress-life record; no matched numeric CT feature</x:v>
      </x:c>
      <x:c r="T10" s="10" t="str">
        <x:v>Wu et al. 2021, Table 4, PDF p. 7</x:v>
      </x:c>
      <x:c r="U10" s="10" t="str">
        <x:v>10.1016/j.ijfatigue.2021.106317</x:v>
      </x:c>
      <x:c r="V10" s="10" t="str"/>
    </x:row>
    <x:row r="11" ht="26" customHeight="1">
      <x:c r="A11" s="10" t="str">
        <x:v>H-HCF14</x:v>
      </x:c>
      <x:c r="B11" s="10" t="str">
        <x:v>Horizontal</x:v>
      </x:c>
      <x:c r="C11" s="11" t="n">
        <x:v>180</x:v>
      </x:c>
      <x:c r="D11" s="11" t="n">
        <x:v>162</x:v>
      </x:c>
      <x:c r="E11" s="11" t="n">
        <x:f>D11/2</x:f>
        <x:v>81</x:v>
      </x:c>
      <x:c r="F11" s="11" t="n">
        <x:f>C11-D11/2</x:f>
        <x:v>99</x:v>
      </x:c>
      <x:c r="G11" s="11" t="n">
        <x:v>0.1</x:v>
      </x:c>
      <x:c r="H11" s="10" t="str">
        <x:v>99000</x:v>
      </x:c>
      <x:c r="I11" s="12" t="n">
        <x:v>99000</x:v>
      </x:c>
      <x:c r="J11" s="12" t="n">
        <x:v>1</x:v>
      </x:c>
      <x:c r="K11" s="10" t="str">
        <x:v>Failed</x:v>
      </x:c>
      <x:c r="L11" s="10" t="str">
        <x:v>Exact cycles to failure</x:v>
      </x:c>
      <x:c r="M11" s="12" t="n">
        <x:v>85</x:v>
      </x:c>
      <x:c r="N11" s="10" t="str">
        <x:v>Yes</x:v>
      </x:c>
      <x:c r="O11" s="10"/>
      <x:c r="P11" s="10" t="str">
        <x:v>Block stress relief: 300 C / 2 h; natural aging ~2 weeks</x:v>
      </x:c>
      <x:c r="Q11" s="10" t="str">
        <x:v>Ground and polished</x:v>
      </x:c>
      <x:c r="R11" s="10" t="str">
        <x:f>IF(ABS(D11-C11*(1-G11))&lt;0.02,"Matches R","Review stress columns")</x:f>
        <x:v>Matches R</x:v>
      </x:c>
      <x:c r="S11" s="10" t="str">
        <x:v>Candidate: experimental stress-life record; no matched numeric CT feature</x:v>
      </x:c>
      <x:c r="T11" s="10" t="str">
        <x:v>Wu et al. 2021, Table 4, PDF p. 7</x:v>
      </x:c>
      <x:c r="U11" s="10" t="str">
        <x:v>10.1016/j.ijfatigue.2021.106317</x:v>
      </x:c>
      <x:c r="V11" s="10" t="str"/>
    </x:row>
    <x:row r="12" ht="26" customHeight="1">
      <x:c r="A12" s="10" t="str">
        <x:v>V-HCF12</x:v>
      </x:c>
      <x:c r="B12" s="10" t="str">
        <x:v>Vertical</x:v>
      </x:c>
      <x:c r="C12" s="11" t="n">
        <x:v>100</x:v>
      </x:c>
      <x:c r="D12" s="11" t="n">
        <x:v>90</x:v>
      </x:c>
      <x:c r="E12" s="11" t="n">
        <x:f>D12/2</x:f>
        <x:v>45</x:v>
      </x:c>
      <x:c r="F12" s="11" t="n">
        <x:f>C12-D12/2</x:f>
        <x:v>55</x:v>
      </x:c>
      <x:c r="G12" s="11" t="n">
        <x:v>0.1</x:v>
      </x:c>
      <x:c r="H12" s="10" t="str">
        <x:v>384,100</x:v>
      </x:c>
      <x:c r="I12" s="12" t="n">
        <x:v>384100</x:v>
      </x:c>
      <x:c r="J12" s="12" t="n">
        <x:v>1</x:v>
      </x:c>
      <x:c r="K12" s="10" t="str">
        <x:v>Failed</x:v>
      </x:c>
      <x:c r="L12" s="10" t="str">
        <x:v>Exact cycles to failure</x:v>
      </x:c>
      <x:c r="M12" s="12" t="n">
        <x:v>85</x:v>
      </x:c>
      <x:c r="N12" s="10" t="str">
        <x:v>Yes</x:v>
      </x:c>
      <x:c r="O12" s="10"/>
      <x:c r="P12" s="10" t="str">
        <x:v>Block stress relief: 300 C / 2 h; natural aging ~2 weeks</x:v>
      </x:c>
      <x:c r="Q12" s="10" t="str">
        <x:v>Ground and polished</x:v>
      </x:c>
      <x:c r="R12" s="10" t="str">
        <x:f>IF(ABS(D12-C12*(1-G12))&lt;0.02,"Matches R","Review stress columns")</x:f>
        <x:v>Matches R</x:v>
      </x:c>
      <x:c r="S12" s="10" t="str">
        <x:v>Candidate: experimental stress-life record; no matched numeric CT feature</x:v>
      </x:c>
      <x:c r="T12" s="10" t="str">
        <x:v>Wu et al. 2021, Table 4, PDF p. 7</x:v>
      </x:c>
      <x:c r="U12" s="10" t="str">
        <x:v>10.1016/j.ijfatigue.2021.106317</x:v>
      </x:c>
      <x:c r="V12" s="10" t="str"/>
    </x:row>
    <x:row r="13" ht="26" customHeight="1">
      <x:c r="A13" s="10" t="str">
        <x:v>H-HCF11</x:v>
      </x:c>
      <x:c r="B13" s="10" t="str">
        <x:v>Horizontal</x:v>
      </x:c>
      <x:c r="C13" s="11" t="n">
        <x:v>180</x:v>
      </x:c>
      <x:c r="D13" s="11" t="n">
        <x:v>162</x:v>
      </x:c>
      <x:c r="E13" s="11" t="n">
        <x:f>D13/2</x:f>
        <x:v>81</x:v>
      </x:c>
      <x:c r="F13" s="11" t="n">
        <x:f>C13-D13/2</x:f>
        <x:v>99</x:v>
      </x:c>
      <x:c r="G13" s="11" t="n">
        <x:v>0.1</x:v>
      </x:c>
      <x:c r="H13" s="10" t="str">
        <x:v>55800</x:v>
      </x:c>
      <x:c r="I13" s="12" t="n">
        <x:v>55800</x:v>
      </x:c>
      <x:c r="J13" s="12" t="n">
        <x:v>1</x:v>
      </x:c>
      <x:c r="K13" s="10" t="str">
        <x:v>Failed</x:v>
      </x:c>
      <x:c r="L13" s="10" t="str">
        <x:v>Exact cycles to failure</x:v>
      </x:c>
      <x:c r="M13" s="12" t="n">
        <x:v>85</x:v>
      </x:c>
      <x:c r="N13" s="10" t="str">
        <x:v>Yes</x:v>
      </x:c>
      <x:c r="O13" s="10"/>
      <x:c r="P13" s="10" t="str">
        <x:v>Block stress relief: 300 C / 2 h; natural aging ~2 weeks</x:v>
      </x:c>
      <x:c r="Q13" s="10" t="str">
        <x:v>Ground and polished</x:v>
      </x:c>
      <x:c r="R13" s="10" t="str">
        <x:f>IF(ABS(D13-C13*(1-G13))&lt;0.02,"Matches R","Review stress columns")</x:f>
        <x:v>Matches R</x:v>
      </x:c>
      <x:c r="S13" s="10" t="str">
        <x:v>Candidate: experimental stress-life record; no matched numeric CT feature</x:v>
      </x:c>
      <x:c r="T13" s="10" t="str">
        <x:v>Wu et al. 2021, Table 4, PDF p. 7</x:v>
      </x:c>
      <x:c r="U13" s="10" t="str">
        <x:v>10.1016/j.ijfatigue.2021.106317</x:v>
      </x:c>
      <x:c r="V13" s="10" t="str"/>
    </x:row>
    <x:row r="14" ht="26" customHeight="1">
      <x:c r="A14" s="10" t="str">
        <x:v>V-HCF13</x:v>
      </x:c>
      <x:c r="B14" s="10" t="str">
        <x:v>Vertical</x:v>
      </x:c>
      <x:c r="C14" s="11" t="n">
        <x:v>100</x:v>
      </x:c>
      <x:c r="D14" s="11" t="n">
        <x:v>90</x:v>
      </x:c>
      <x:c r="E14" s="11" t="n">
        <x:f>D14/2</x:f>
        <x:v>45</x:v>
      </x:c>
      <x:c r="F14" s="11" t="n">
        <x:f>C14-D14/2</x:f>
        <x:v>55</x:v>
      </x:c>
      <x:c r="G14" s="11" t="n">
        <x:v>0.1</x:v>
      </x:c>
      <x:c r="H14" s="10" t="str">
        <x:v>316,100</x:v>
      </x:c>
      <x:c r="I14" s="12" t="n">
        <x:v>316100</x:v>
      </x:c>
      <x:c r="J14" s="12" t="n">
        <x:v>1</x:v>
      </x:c>
      <x:c r="K14" s="10" t="str">
        <x:v>Failed</x:v>
      </x:c>
      <x:c r="L14" s="10" t="str">
        <x:v>Exact cycles to failure</x:v>
      </x:c>
      <x:c r="M14" s="12" t="n">
        <x:v>85</x:v>
      </x:c>
      <x:c r="N14" s="10" t="str">
        <x:v>Yes</x:v>
      </x:c>
      <x:c r="O14" s="10"/>
      <x:c r="P14" s="10" t="str">
        <x:v>Block stress relief: 300 C / 2 h; natural aging ~2 weeks</x:v>
      </x:c>
      <x:c r="Q14" s="10" t="str">
        <x:v>Ground and polished</x:v>
      </x:c>
      <x:c r="R14" s="10" t="str">
        <x:f>IF(ABS(D14-C14*(1-G14))&lt;0.02,"Matches R","Review stress columns")</x:f>
        <x:v>Matches R</x:v>
      </x:c>
      <x:c r="S14" s="10" t="str">
        <x:v>Candidate: experimental stress-life record; no matched numeric CT feature</x:v>
      </x:c>
      <x:c r="T14" s="10" t="str">
        <x:v>Wu et al. 2021, Table 4, PDF p. 7</x:v>
      </x:c>
      <x:c r="U14" s="10" t="str">
        <x:v>10.1016/j.ijfatigue.2021.106317</x:v>
      </x:c>
      <x:c r="V14" s="10" t="str"/>
    </x:row>
    <x:row r="15" ht="26" customHeight="1">
      <x:c r="A15" s="10" t="str">
        <x:v>H-HCF13</x:v>
      </x:c>
      <x:c r="B15" s="10" t="str">
        <x:v>Horizontal</x:v>
      </x:c>
      <x:c r="C15" s="11" t="n">
        <x:v>160</x:v>
      </x:c>
      <x:c r="D15" s="11" t="n">
        <x:v>144</x:v>
      </x:c>
      <x:c r="E15" s="11" t="n">
        <x:f>D15/2</x:f>
        <x:v>72</x:v>
      </x:c>
      <x:c r="F15" s="11" t="n">
        <x:f>C15-D15/2</x:f>
        <x:v>88</x:v>
      </x:c>
      <x:c r="G15" s="11" t="n">
        <x:v>0.1</x:v>
      </x:c>
      <x:c r="H15" s="10" t="str">
        <x:v>120000</x:v>
      </x:c>
      <x:c r="I15" s="12" t="n">
        <x:v>120000</x:v>
      </x:c>
      <x:c r="J15" s="12" t="n">
        <x:v>1</x:v>
      </x:c>
      <x:c r="K15" s="10" t="str">
        <x:v>Failed</x:v>
      </x:c>
      <x:c r="L15" s="10" t="str">
        <x:v>Exact cycles to failure</x:v>
      </x:c>
      <x:c r="M15" s="12" t="n">
        <x:v>85</x:v>
      </x:c>
      <x:c r="N15" s="10" t="str">
        <x:v>Yes</x:v>
      </x:c>
      <x:c r="O15" s="10"/>
      <x:c r="P15" s="10" t="str">
        <x:v>Block stress relief: 300 C / 2 h; natural aging ~2 weeks</x:v>
      </x:c>
      <x:c r="Q15" s="10" t="str">
        <x:v>Ground and polished</x:v>
      </x:c>
      <x:c r="R15" s="10" t="str">
        <x:f>IF(ABS(D15-C15*(1-G15))&lt;0.02,"Matches R","Review stress columns")</x:f>
        <x:v>Matches R</x:v>
      </x:c>
      <x:c r="S15" s="10" t="str">
        <x:v>Candidate: experimental stress-life record; no matched numeric CT feature</x:v>
      </x:c>
      <x:c r="T15" s="10" t="str">
        <x:v>Wu et al. 2021, Table 4, PDF p. 7</x:v>
      </x:c>
      <x:c r="U15" s="10" t="str">
        <x:v>10.1016/j.ijfatigue.2021.106317</x:v>
      </x:c>
      <x:c r="V15" s="10" t="str"/>
    </x:row>
    <x:row r="16" ht="26" customHeight="1">
      <x:c r="A16" s="10" t="str">
        <x:v>V-HCF19</x:v>
      </x:c>
      <x:c r="B16" s="10" t="str">
        <x:v>Vertical</x:v>
      </x:c>
      <x:c r="C16" s="11" t="n">
        <x:v>100</x:v>
      </x:c>
      <x:c r="D16" s="11" t="n">
        <x:v>90</x:v>
      </x:c>
      <x:c r="E16" s="11" t="n">
        <x:f>D16/2</x:f>
        <x:v>45</x:v>
      </x:c>
      <x:c r="F16" s="11" t="n">
        <x:f>C16-D16/2</x:f>
        <x:v>55</x:v>
      </x:c>
      <x:c r="G16" s="11" t="n">
        <x:v>0.1</x:v>
      </x:c>
      <x:c r="H16" s="10" t="str">
        <x:v>180,200</x:v>
      </x:c>
      <x:c r="I16" s="12" t="n">
        <x:v>180200</x:v>
      </x:c>
      <x:c r="J16" s="12" t="n">
        <x:v>1</x:v>
      </x:c>
      <x:c r="K16" s="10" t="str">
        <x:v>Failed</x:v>
      </x:c>
      <x:c r="L16" s="10" t="str">
        <x:v>Exact cycles to failure</x:v>
      </x:c>
      <x:c r="M16" s="12" t="n">
        <x:v>85</x:v>
      </x:c>
      <x:c r="N16" s="10" t="str">
        <x:v>Yes</x:v>
      </x:c>
      <x:c r="O16" s="10"/>
      <x:c r="P16" s="10" t="str">
        <x:v>Block stress relief: 300 C / 2 h; natural aging ~2 weeks</x:v>
      </x:c>
      <x:c r="Q16" s="10" t="str">
        <x:v>Ground and polished</x:v>
      </x:c>
      <x:c r="R16" s="10" t="str">
        <x:f>IF(ABS(D16-C16*(1-G16))&lt;0.02,"Matches R","Review stress columns")</x:f>
        <x:v>Matches R</x:v>
      </x:c>
      <x:c r="S16" s="10" t="str">
        <x:v>Candidate: experimental stress-life record; no matched numeric CT feature</x:v>
      </x:c>
      <x:c r="T16" s="10" t="str">
        <x:v>Wu et al. 2021, Table 4, PDF p. 7</x:v>
      </x:c>
      <x:c r="U16" s="10" t="str">
        <x:v>10.1016/j.ijfatigue.2021.106317</x:v>
      </x:c>
      <x:c r="V16" s="10" t="str"/>
    </x:row>
    <x:row r="17" ht="26" customHeight="1">
      <x:c r="A17" s="10" t="str">
        <x:v>H-HCF02</x:v>
      </x:c>
      <x:c r="B17" s="10" t="str">
        <x:v>Horizontal</x:v>
      </x:c>
      <x:c r="C17" s="11" t="n">
        <x:v>160</x:v>
      </x:c>
      <x:c r="D17" s="11" t="n">
        <x:v>144</x:v>
      </x:c>
      <x:c r="E17" s="11" t="n">
        <x:f>D17/2</x:f>
        <x:v>72</x:v>
      </x:c>
      <x:c r="F17" s="11" t="n">
        <x:f>C17-D17/2</x:f>
        <x:v>88</x:v>
      </x:c>
      <x:c r="G17" s="11" t="n">
        <x:v>0.1</x:v>
      </x:c>
      <x:c r="H17" s="10" t="str">
        <x:v>365400</x:v>
      </x:c>
      <x:c r="I17" s="12" t="n">
        <x:v>365400</x:v>
      </x:c>
      <x:c r="J17" s="12" t="n">
        <x:v>1</x:v>
      </x:c>
      <x:c r="K17" s="10" t="str">
        <x:v>Failed</x:v>
      </x:c>
      <x:c r="L17" s="10" t="str">
        <x:v>Exact cycles to failure</x:v>
      </x:c>
      <x:c r="M17" s="12" t="n">
        <x:v>85</x:v>
      </x:c>
      <x:c r="N17" s="10" t="str">
        <x:v>Yes</x:v>
      </x:c>
      <x:c r="O17" s="10"/>
      <x:c r="P17" s="10" t="str">
        <x:v>Block stress relief: 300 C / 2 h; natural aging ~2 weeks</x:v>
      </x:c>
      <x:c r="Q17" s="10" t="str">
        <x:v>Ground and polished</x:v>
      </x:c>
      <x:c r="R17" s="10" t="str">
        <x:f>IF(ABS(D17-C17*(1-G17))&lt;0.02,"Matches R","Review stress columns")</x:f>
        <x:v>Matches R</x:v>
      </x:c>
      <x:c r="S17" s="10" t="str">
        <x:v>Candidate: experimental stress-life record; no matched numeric CT feature</x:v>
      </x:c>
      <x:c r="T17" s="10" t="str">
        <x:v>Wu et al. 2021, Table 4, PDF p. 7</x:v>
      </x:c>
      <x:c r="U17" s="10" t="str">
        <x:v>10.1016/j.ijfatigue.2021.106317</x:v>
      </x:c>
      <x:c r="V17" s="10" t="str"/>
    </x:row>
    <x:row r="18" ht="26" customHeight="1">
      <x:c r="A18" s="10" t="str">
        <x:v>V-HCF06</x:v>
      </x:c>
      <x:c r="B18" s="10" t="str">
        <x:v>Vertical</x:v>
      </x:c>
      <x:c r="C18" s="11" t="n">
        <x:v>100</x:v>
      </x:c>
      <x:c r="D18" s="11" t="n">
        <x:v>90</x:v>
      </x:c>
      <x:c r="E18" s="11" t="n">
        <x:f>D18/2</x:f>
        <x:v>45</x:v>
      </x:c>
      <x:c r="F18" s="11" t="n">
        <x:f>C18-D18/2</x:f>
        <x:v>55</x:v>
      </x:c>
      <x:c r="G18" s="11" t="n">
        <x:v>0.1</x:v>
      </x:c>
      <x:c r="H18" s="10" t="str">
        <x:v>124,800</x:v>
      </x:c>
      <x:c r="I18" s="12" t="n">
        <x:v>124800</x:v>
      </x:c>
      <x:c r="J18" s="12" t="n">
        <x:v>1</x:v>
      </x:c>
      <x:c r="K18" s="10" t="str">
        <x:v>Failed</x:v>
      </x:c>
      <x:c r="L18" s="10" t="str">
        <x:v>Exact cycles to failure</x:v>
      </x:c>
      <x:c r="M18" s="12" t="n">
        <x:v>85</x:v>
      </x:c>
      <x:c r="N18" s="10" t="str">
        <x:v>Yes</x:v>
      </x:c>
      <x:c r="O18" s="10"/>
      <x:c r="P18" s="10" t="str">
        <x:v>Block stress relief: 300 C / 2 h; natural aging ~2 weeks</x:v>
      </x:c>
      <x:c r="Q18" s="10" t="str">
        <x:v>Ground and polished</x:v>
      </x:c>
      <x:c r="R18" s="10" t="str">
        <x:f>IF(ABS(D18-C18*(1-G18))&lt;0.02,"Matches R","Review stress columns")</x:f>
        <x:v>Matches R</x:v>
      </x:c>
      <x:c r="S18" s="10" t="str">
        <x:v>Candidate: experimental stress-life record; no matched numeric CT feature</x:v>
      </x:c>
      <x:c r="T18" s="10" t="str">
        <x:v>Wu et al. 2021, Table 4, PDF p. 7</x:v>
      </x:c>
      <x:c r="U18" s="10" t="str">
        <x:v>10.1016/j.ijfatigue.2021.106317</x:v>
      </x:c>
      <x:c r="V18" s="10" t="str"/>
    </x:row>
    <x:row r="19" ht="26" customHeight="1">
      <x:c r="A19" s="10" t="str">
        <x:v>H-HCF01</x:v>
      </x:c>
      <x:c r="B19" s="10" t="str">
        <x:v>Horizontal</x:v>
      </x:c>
      <x:c r="C19" s="11" t="n">
        <x:v>160</x:v>
      </x:c>
      <x:c r="D19" s="11" t="n">
        <x:v>144</x:v>
      </x:c>
      <x:c r="E19" s="11" t="n">
        <x:f>D19/2</x:f>
        <x:v>72</x:v>
      </x:c>
      <x:c r="F19" s="11" t="n">
        <x:f>C19-D19/2</x:f>
        <x:v>88</x:v>
      </x:c>
      <x:c r="G19" s="11" t="n">
        <x:v>0.1</x:v>
      </x:c>
      <x:c r="H19" s="10" t="str">
        <x:v>354700</x:v>
      </x:c>
      <x:c r="I19" s="12" t="n">
        <x:v>354700</x:v>
      </x:c>
      <x:c r="J19" s="12" t="n">
        <x:v>1</x:v>
      </x:c>
      <x:c r="K19" s="10" t="str">
        <x:v>Failed</x:v>
      </x:c>
      <x:c r="L19" s="10" t="str">
        <x:v>Exact cycles to failure</x:v>
      </x:c>
      <x:c r="M19" s="12" t="n">
        <x:v>85</x:v>
      </x:c>
      <x:c r="N19" s="10" t="str">
        <x:v>Yes</x:v>
      </x:c>
      <x:c r="O19" s="10"/>
      <x:c r="P19" s="10" t="str">
        <x:v>Block stress relief: 300 C / 2 h; natural aging ~2 weeks</x:v>
      </x:c>
      <x:c r="Q19" s="10" t="str">
        <x:v>Ground and polished</x:v>
      </x:c>
      <x:c r="R19" s="10" t="str">
        <x:f>IF(ABS(D19-C19*(1-G19))&lt;0.02,"Matches R","Review stress columns")</x:f>
        <x:v>Matches R</x:v>
      </x:c>
      <x:c r="S19" s="10" t="str">
        <x:v>Candidate: experimental stress-life record; no matched numeric CT feature</x:v>
      </x:c>
      <x:c r="T19" s="10" t="str">
        <x:v>Wu et al. 2021, Table 4, PDF p. 7</x:v>
      </x:c>
      <x:c r="U19" s="10" t="str">
        <x:v>10.1016/j.ijfatigue.2021.106317</x:v>
      </x:c>
      <x:c r="V19" s="10" t="str"/>
    </x:row>
    <x:row r="20" ht="26" customHeight="1">
      <x:c r="A20" s="10" t="str">
        <x:v>V-HCF21</x:v>
      </x:c>
      <x:c r="B20" s="10" t="str">
        <x:v>Vertical</x:v>
      </x:c>
      <x:c r="C20" s="11" t="n">
        <x:v>100</x:v>
      </x:c>
      <x:c r="D20" s="11" t="n">
        <x:v>90</x:v>
      </x:c>
      <x:c r="E20" s="11" t="n">
        <x:f>D20/2</x:f>
        <x:v>45</x:v>
      </x:c>
      <x:c r="F20" s="11" t="n">
        <x:f>C20-D20/2</x:f>
        <x:v>55</x:v>
      </x:c>
      <x:c r="G20" s="11" t="n">
        <x:v>0.1</x:v>
      </x:c>
      <x:c r="H20" s="10" t="str">
        <x:v>188,700</x:v>
      </x:c>
      <x:c r="I20" s="12" t="n">
        <x:v>188700</x:v>
      </x:c>
      <x:c r="J20" s="12" t="n">
        <x:v>1</x:v>
      </x:c>
      <x:c r="K20" s="10" t="str">
        <x:v>Failed</x:v>
      </x:c>
      <x:c r="L20" s="10" t="str">
        <x:v>Exact cycles to failure</x:v>
      </x:c>
      <x:c r="M20" s="12" t="n">
        <x:v>85</x:v>
      </x:c>
      <x:c r="N20" s="10" t="str">
        <x:v>Yes</x:v>
      </x:c>
      <x:c r="O20" s="10"/>
      <x:c r="P20" s="10" t="str">
        <x:v>Block stress relief: 300 C / 2 h; natural aging ~2 weeks</x:v>
      </x:c>
      <x:c r="Q20" s="10" t="str">
        <x:v>Ground and polished</x:v>
      </x:c>
      <x:c r="R20" s="10" t="str">
        <x:f>IF(ABS(D20-C20*(1-G20))&lt;0.02,"Matches R","Review stress columns")</x:f>
        <x:v>Matches R</x:v>
      </x:c>
      <x:c r="S20" s="10" t="str">
        <x:v>Candidate: experimental stress-life record; no matched numeric CT feature</x:v>
      </x:c>
      <x:c r="T20" s="10" t="str">
        <x:v>Wu et al. 2021, Table 4, PDF p. 7</x:v>
      </x:c>
      <x:c r="U20" s="10" t="str">
        <x:v>10.1016/j.ijfatigue.2021.106317</x:v>
      </x:c>
      <x:c r="V20" s="10" t="str"/>
    </x:row>
    <x:row r="21" ht="26" customHeight="1">
      <x:c r="A21" s="10" t="str">
        <x:v>H-HCF06</x:v>
      </x:c>
      <x:c r="B21" s="10" t="str">
        <x:v>Horizontal</x:v>
      </x:c>
      <x:c r="C21" s="11" t="n">
        <x:v>147</x:v>
      </x:c>
      <x:c r="D21" s="11" t="n">
        <x:v>132.3</x:v>
      </x:c>
      <x:c r="E21" s="11" t="n">
        <x:f>D21/2</x:f>
        <x:v>66.15</x:v>
      </x:c>
      <x:c r="F21" s="11" t="n">
        <x:f>C21-D21/2</x:f>
        <x:v>80.85</x:v>
      </x:c>
      <x:c r="G21" s="11" t="n">
        <x:v>0.1</x:v>
      </x:c>
      <x:c r="H21" s="10" t="str">
        <x:v>466400</x:v>
      </x:c>
      <x:c r="I21" s="12" t="n">
        <x:v>466400</x:v>
      </x:c>
      <x:c r="J21" s="12" t="n">
        <x:v>1</x:v>
      </x:c>
      <x:c r="K21" s="10" t="str">
        <x:v>Failed</x:v>
      </x:c>
      <x:c r="L21" s="10" t="str">
        <x:v>Exact cycles to failure</x:v>
      </x:c>
      <x:c r="M21" s="12" t="n">
        <x:v>85</x:v>
      </x:c>
      <x:c r="N21" s="10" t="str">
        <x:v>Yes</x:v>
      </x:c>
      <x:c r="O21" s="10"/>
      <x:c r="P21" s="10" t="str">
        <x:v>Block stress relief: 300 C / 2 h; natural aging ~2 weeks</x:v>
      </x:c>
      <x:c r="Q21" s="10" t="str">
        <x:v>Ground and polished</x:v>
      </x:c>
      <x:c r="R21" s="10" t="str">
        <x:f>IF(ABS(D21-C21*(1-G21))&lt;0.02,"Matches R","Review stress columns")</x:f>
        <x:v>Matches R</x:v>
      </x:c>
      <x:c r="S21" s="10" t="str">
        <x:v>Candidate: experimental stress-life record; no matched numeric CT feature</x:v>
      </x:c>
      <x:c r="T21" s="10" t="str">
        <x:v>Wu et al. 2021, Table 4, PDF p. 7</x:v>
      </x:c>
      <x:c r="U21" s="10" t="str">
        <x:v>10.1016/j.ijfatigue.2021.106317</x:v>
      </x:c>
      <x:c r="V21" s="10" t="str"/>
    </x:row>
    <x:row r="22" ht="26" customHeight="1">
      <x:c r="A22" s="10" t="str">
        <x:v>V-HCF20</x:v>
      </x:c>
      <x:c r="B22" s="10" t="str">
        <x:v>Vertical</x:v>
      </x:c>
      <x:c r="C22" s="11" t="n">
        <x:v>80</x:v>
      </x:c>
      <x:c r="D22" s="11" t="n">
        <x:v>72</x:v>
      </x:c>
      <x:c r="E22" s="11" t="n">
        <x:f>D22/2</x:f>
        <x:v>36</x:v>
      </x:c>
      <x:c r="F22" s="11" t="n">
        <x:f>C22-D22/2</x:f>
        <x:v>44</x:v>
      </x:c>
      <x:c r="G22" s="11" t="n">
        <x:v>0.1</x:v>
      </x:c>
      <x:c r="H22" s="10" t="str">
        <x:v>687,800</x:v>
      </x:c>
      <x:c r="I22" s="12" t="n">
        <x:v>687800</x:v>
      </x:c>
      <x:c r="J22" s="12" t="n">
        <x:v>1</x:v>
      </x:c>
      <x:c r="K22" s="10" t="str">
        <x:v>Failed</x:v>
      </x:c>
      <x:c r="L22" s="10" t="str">
        <x:v>Exact cycles to failure</x:v>
      </x:c>
      <x:c r="M22" s="12" t="n">
        <x:v>85</x:v>
      </x:c>
      <x:c r="N22" s="10" t="str">
        <x:v>Yes</x:v>
      </x:c>
      <x:c r="O22" s="10"/>
      <x:c r="P22" s="10" t="str">
        <x:v>Block stress relief: 300 C / 2 h; natural aging ~2 weeks</x:v>
      </x:c>
      <x:c r="Q22" s="10" t="str">
        <x:v>Ground and polished</x:v>
      </x:c>
      <x:c r="R22" s="10" t="str">
        <x:f>IF(ABS(D22-C22*(1-G22))&lt;0.02,"Matches R","Review stress columns")</x:f>
        <x:v>Matches R</x:v>
      </x:c>
      <x:c r="S22" s="10" t="str">
        <x:v>Candidate: experimental stress-life record; no matched numeric CT feature</x:v>
      </x:c>
      <x:c r="T22" s="10" t="str">
        <x:v>Wu et al. 2021, Table 4, PDF p. 7</x:v>
      </x:c>
      <x:c r="U22" s="10" t="str">
        <x:v>10.1016/j.ijfatigue.2021.106317</x:v>
      </x:c>
      <x:c r="V22" s="10" t="str"/>
    </x:row>
    <x:row r="23" ht="26" customHeight="1">
      <x:c r="A23" s="10" t="str">
        <x:v>H-HCF10</x:v>
      </x:c>
      <x:c r="B23" s="10" t="str">
        <x:v>Horizontal</x:v>
      </x:c>
      <x:c r="C23" s="11" t="n">
        <x:v>147</x:v>
      </x:c>
      <x:c r="D23" s="11" t="n">
        <x:v>132.3</x:v>
      </x:c>
      <x:c r="E23" s="11" t="n">
        <x:f>D23/2</x:f>
        <x:v>66.15</x:v>
      </x:c>
      <x:c r="F23" s="11" t="n">
        <x:f>C23-D23/2</x:f>
        <x:v>80.85</x:v>
      </x:c>
      <x:c r="G23" s="11" t="n">
        <x:v>0.1</x:v>
      </x:c>
      <x:c r="H23" s="10" t="str">
        <x:v>244300</x:v>
      </x:c>
      <x:c r="I23" s="12" t="n">
        <x:v>244300</x:v>
      </x:c>
      <x:c r="J23" s="12" t="n">
        <x:v>1</x:v>
      </x:c>
      <x:c r="K23" s="10" t="str">
        <x:v>Failed</x:v>
      </x:c>
      <x:c r="L23" s="10" t="str">
        <x:v>Exact cycles to failure</x:v>
      </x:c>
      <x:c r="M23" s="12" t="n">
        <x:v>85</x:v>
      </x:c>
      <x:c r="N23" s="10" t="str">
        <x:v>Yes</x:v>
      </x:c>
      <x:c r="O23" s="10"/>
      <x:c r="P23" s="10" t="str">
        <x:v>Block stress relief: 300 C / 2 h; natural aging ~2 weeks</x:v>
      </x:c>
      <x:c r="Q23" s="10" t="str">
        <x:v>Ground and polished</x:v>
      </x:c>
      <x:c r="R23" s="10" t="str">
        <x:f>IF(ABS(D23-C23*(1-G23))&lt;0.02,"Matches R","Review stress columns")</x:f>
        <x:v>Matches R</x:v>
      </x:c>
      <x:c r="S23" s="10" t="str">
        <x:v>Candidate: experimental stress-life record; no matched numeric CT feature</x:v>
      </x:c>
      <x:c r="T23" s="10" t="str">
        <x:v>Wu et al. 2021, Table 4, PDF p. 7</x:v>
      </x:c>
      <x:c r="U23" s="10" t="str">
        <x:v>10.1016/j.ijfatigue.2021.106317</x:v>
      </x:c>
      <x:c r="V23" s="10" t="str"/>
    </x:row>
    <x:row r="24" ht="26" customHeight="1">
      <x:c r="A24" s="10" t="str">
        <x:v>V-HCF01</x:v>
      </x:c>
      <x:c r="B24" s="10" t="str">
        <x:v>Vertical</x:v>
      </x:c>
      <x:c r="C24" s="11" t="n">
        <x:v>80</x:v>
      </x:c>
      <x:c r="D24" s="11" t="n">
        <x:v>72</x:v>
      </x:c>
      <x:c r="E24" s="11" t="n">
        <x:f>D24/2</x:f>
        <x:v>36</x:v>
      </x:c>
      <x:c r="F24" s="11" t="n">
        <x:f>C24-D24/2</x:f>
        <x:v>44</x:v>
      </x:c>
      <x:c r="G24" s="11" t="n">
        <x:v>0.1</x:v>
      </x:c>
      <x:c r="H24" s="10" t="str">
        <x:v>674,700</x:v>
      </x:c>
      <x:c r="I24" s="12" t="n">
        <x:v>674700</x:v>
      </x:c>
      <x:c r="J24" s="12" t="n">
        <x:v>1</x:v>
      </x:c>
      <x:c r="K24" s="10" t="str">
        <x:v>Failed</x:v>
      </x:c>
      <x:c r="L24" s="10" t="str">
        <x:v>Exact cycles to failure</x:v>
      </x:c>
      <x:c r="M24" s="12" t="n">
        <x:v>85</x:v>
      </x:c>
      <x:c r="N24" s="10" t="str">
        <x:v>Yes</x:v>
      </x:c>
      <x:c r="O24" s="10"/>
      <x:c r="P24" s="10" t="str">
        <x:v>Block stress relief: 300 C / 2 h; natural aging ~2 weeks</x:v>
      </x:c>
      <x:c r="Q24" s="10" t="str">
        <x:v>Ground and polished</x:v>
      </x:c>
      <x:c r="R24" s="10" t="str">
        <x:f>IF(ABS(D24-C24*(1-G24))&lt;0.02,"Matches R","Review stress columns")</x:f>
        <x:v>Matches R</x:v>
      </x:c>
      <x:c r="S24" s="10" t="str">
        <x:v>Candidate: experimental stress-life record; no matched numeric CT feature</x:v>
      </x:c>
      <x:c r="T24" s="10" t="str">
        <x:v>Wu et al. 2021, Table 4, PDF p. 7</x:v>
      </x:c>
      <x:c r="U24" s="10" t="str">
        <x:v>10.1016/j.ijfatigue.2021.106317</x:v>
      </x:c>
      <x:c r="V24" s="10" t="str"/>
    </x:row>
    <x:row r="25" ht="26" customHeight="1">
      <x:c r="A25" s="10" t="str">
        <x:v>H-HCF15</x:v>
      </x:c>
      <x:c r="B25" s="10" t="str">
        <x:v>Horizontal</x:v>
      </x:c>
      <x:c r="C25" s="11" t="n">
        <x:v>147</x:v>
      </x:c>
      <x:c r="D25" s="11" t="n">
        <x:v>132.3</x:v>
      </x:c>
      <x:c r="E25" s="11" t="n">
        <x:f>D25/2</x:f>
        <x:v>66.15</x:v>
      </x:c>
      <x:c r="F25" s="11" t="n">
        <x:f>C25-D25/2</x:f>
        <x:v>80.85</x:v>
      </x:c>
      <x:c r="G25" s="11" t="n">
        <x:v>0.1</x:v>
      </x:c>
      <x:c r="H25" s="10" t="str">
        <x:v>265000</x:v>
      </x:c>
      <x:c r="I25" s="12" t="n">
        <x:v>265000</x:v>
      </x:c>
      <x:c r="J25" s="12" t="n">
        <x:v>1</x:v>
      </x:c>
      <x:c r="K25" s="10" t="str">
        <x:v>Failed</x:v>
      </x:c>
      <x:c r="L25" s="10" t="str">
        <x:v>Exact cycles to failure</x:v>
      </x:c>
      <x:c r="M25" s="12" t="n">
        <x:v>85</x:v>
      </x:c>
      <x:c r="N25" s="10" t="str">
        <x:v>Yes</x:v>
      </x:c>
      <x:c r="O25" s="10"/>
      <x:c r="P25" s="10" t="str">
        <x:v>Block stress relief: 300 C / 2 h; natural aging ~2 weeks</x:v>
      </x:c>
      <x:c r="Q25" s="10" t="str">
        <x:v>Ground and polished</x:v>
      </x:c>
      <x:c r="R25" s="10" t="str">
        <x:f>IF(ABS(D25-C25*(1-G25))&lt;0.02,"Matches R","Review stress columns")</x:f>
        <x:v>Matches R</x:v>
      </x:c>
      <x:c r="S25" s="10" t="str">
        <x:v>Candidate: experimental stress-life record; no matched numeric CT feature</x:v>
      </x:c>
      <x:c r="T25" s="10" t="str">
        <x:v>Wu et al. 2021, Table 4, PDF p. 7</x:v>
      </x:c>
      <x:c r="U25" s="10" t="str">
        <x:v>10.1016/j.ijfatigue.2021.106317</x:v>
      </x:c>
      <x:c r="V25" s="10" t="str"/>
    </x:row>
    <x:row r="26" ht="26" customHeight="1">
      <x:c r="A26" s="10" t="str">
        <x:v>V-HCF18</x:v>
      </x:c>
      <x:c r="B26" s="10" t="str">
        <x:v>Vertical</x:v>
      </x:c>
      <x:c r="C26" s="11" t="n">
        <x:v>80</x:v>
      </x:c>
      <x:c r="D26" s="11" t="n">
        <x:v>72</x:v>
      </x:c>
      <x:c r="E26" s="11" t="n">
        <x:f>D26/2</x:f>
        <x:v>36</x:v>
      </x:c>
      <x:c r="F26" s="11" t="n">
        <x:f>C26-D26/2</x:f>
        <x:v>44</x:v>
      </x:c>
      <x:c r="G26" s="11" t="n">
        <x:v>0.1</x:v>
      </x:c>
      <x:c r="H26" s="10" t="str">
        <x:v>648,700</x:v>
      </x:c>
      <x:c r="I26" s="12" t="n">
        <x:v>648700</x:v>
      </x:c>
      <x:c r="J26" s="12" t="n">
        <x:v>1</x:v>
      </x:c>
      <x:c r="K26" s="10" t="str">
        <x:v>Failed</x:v>
      </x:c>
      <x:c r="L26" s="10" t="str">
        <x:v>Exact cycles to failure</x:v>
      </x:c>
      <x:c r="M26" s="12" t="n">
        <x:v>85</x:v>
      </x:c>
      <x:c r="N26" s="10" t="str">
        <x:v>Yes</x:v>
      </x:c>
      <x:c r="O26" s="10"/>
      <x:c r="P26" s="10" t="str">
        <x:v>Block stress relief: 300 C / 2 h; natural aging ~2 weeks</x:v>
      </x:c>
      <x:c r="Q26" s="10" t="str">
        <x:v>Ground and polished</x:v>
      </x:c>
      <x:c r="R26" s="10" t="str">
        <x:f>IF(ABS(D26-C26*(1-G26))&lt;0.02,"Matches R","Review stress columns")</x:f>
        <x:v>Matches R</x:v>
      </x:c>
      <x:c r="S26" s="10" t="str">
        <x:v>Candidate: experimental stress-life record; no matched numeric CT feature</x:v>
      </x:c>
      <x:c r="T26" s="10" t="str">
        <x:v>Wu et al. 2021, Table 4, PDF p. 7</x:v>
      </x:c>
      <x:c r="U26" s="10" t="str">
        <x:v>10.1016/j.ijfatigue.2021.106317</x:v>
      </x:c>
      <x:c r="V26" s="10" t="str"/>
    </x:row>
    <x:row r="27" ht="26" customHeight="1">
      <x:c r="A27" s="10" t="str">
        <x:v>H-HCF17</x:v>
      </x:c>
      <x:c r="B27" s="10" t="str">
        <x:v>Horizontal</x:v>
      </x:c>
      <x:c r="C27" s="11" t="n">
        <x:v>140</x:v>
      </x:c>
      <x:c r="D27" s="11" t="n">
        <x:v>126</x:v>
      </x:c>
      <x:c r="E27" s="11" t="n">
        <x:f>D27/2</x:f>
        <x:v>63</x:v>
      </x:c>
      <x:c r="F27" s="11" t="n">
        <x:f>C27-D27/2</x:f>
        <x:v>77</x:v>
      </x:c>
      <x:c r="G27" s="11" t="n">
        <x:v>0.1</x:v>
      </x:c>
      <x:c r="H27" s="10" t="str">
        <x:v>345000</x:v>
      </x:c>
      <x:c r="I27" s="12" t="n">
        <x:v>345000</x:v>
      </x:c>
      <x:c r="J27" s="12" t="n">
        <x:v>1</x:v>
      </x:c>
      <x:c r="K27" s="10" t="str">
        <x:v>Failed</x:v>
      </x:c>
      <x:c r="L27" s="10" t="str">
        <x:v>Exact cycles to failure</x:v>
      </x:c>
      <x:c r="M27" s="12" t="n">
        <x:v>85</x:v>
      </x:c>
      <x:c r="N27" s="10" t="str">
        <x:v>Yes</x:v>
      </x:c>
      <x:c r="O27" s="10"/>
      <x:c r="P27" s="10" t="str">
        <x:v>Block stress relief: 300 C / 2 h; natural aging ~2 weeks</x:v>
      </x:c>
      <x:c r="Q27" s="10" t="str">
        <x:v>Ground and polished</x:v>
      </x:c>
      <x:c r="R27" s="10" t="str">
        <x:f>IF(ABS(D27-C27*(1-G27))&lt;0.02,"Matches R","Review stress columns")</x:f>
        <x:v>Matches R</x:v>
      </x:c>
      <x:c r="S27" s="10" t="str">
        <x:v>Candidate: experimental stress-life record; no matched numeric CT feature</x:v>
      </x:c>
      <x:c r="T27" s="10" t="str">
        <x:v>Wu et al. 2021, Table 4, PDF p. 7</x:v>
      </x:c>
      <x:c r="U27" s="10" t="str">
        <x:v>10.1016/j.ijfatigue.2021.106317</x:v>
      </x:c>
      <x:c r="V27" s="10" t="str"/>
    </x:row>
    <x:row r="28" ht="26" customHeight="1">
      <x:c r="A28" s="10" t="str">
        <x:v>V-HCF11</x:v>
      </x:c>
      <x:c r="B28" s="10" t="str">
        <x:v>Vertical</x:v>
      </x:c>
      <x:c r="C28" s="11" t="n">
        <x:v>80</x:v>
      </x:c>
      <x:c r="D28" s="11" t="n">
        <x:v>72</x:v>
      </x:c>
      <x:c r="E28" s="11" t="n">
        <x:f>D28/2</x:f>
        <x:v>36</x:v>
      </x:c>
      <x:c r="F28" s="11" t="n">
        <x:f>C28-D28/2</x:f>
        <x:v>44</x:v>
      </x:c>
      <x:c r="G28" s="11" t="n">
        <x:v>0.1</x:v>
      </x:c>
      <x:c r="H28" s="10" t="str">
        <x:v>1,364,800</x:v>
      </x:c>
      <x:c r="I28" s="12" t="n">
        <x:v>1364800</x:v>
      </x:c>
      <x:c r="J28" s="12" t="n">
        <x:v>1</x:v>
      </x:c>
      <x:c r="K28" s="10" t="str">
        <x:v>Failed</x:v>
      </x:c>
      <x:c r="L28" s="10" t="str">
        <x:v>Exact cycles to failure</x:v>
      </x:c>
      <x:c r="M28" s="12" t="n">
        <x:v>85</x:v>
      </x:c>
      <x:c r="N28" s="10" t="str">
        <x:v>Yes</x:v>
      </x:c>
      <x:c r="O28" s="10"/>
      <x:c r="P28" s="10" t="str">
        <x:v>Block stress relief: 300 C / 2 h; natural aging ~2 weeks</x:v>
      </x:c>
      <x:c r="Q28" s="10" t="str">
        <x:v>Ground and polished</x:v>
      </x:c>
      <x:c r="R28" s="10" t="str">
        <x:f>IF(ABS(D28-C28*(1-G28))&lt;0.02,"Matches R","Review stress columns")</x:f>
        <x:v>Matches R</x:v>
      </x:c>
      <x:c r="S28" s="10" t="str">
        <x:v>Candidate: experimental stress-life record; no matched numeric CT feature</x:v>
      </x:c>
      <x:c r="T28" s="10" t="str">
        <x:v>Wu et al. 2021, Table 4, PDF p. 7</x:v>
      </x:c>
      <x:c r="U28" s="10" t="str">
        <x:v>10.1016/j.ijfatigue.2021.106317</x:v>
      </x:c>
      <x:c r="V28" s="10" t="str"/>
    </x:row>
    <x:row r="29" ht="26" customHeight="1">
      <x:c r="A29" s="10" t="str">
        <x:v>H-HCF12</x:v>
      </x:c>
      <x:c r="B29" s="10" t="str">
        <x:v>Horizontal</x:v>
      </x:c>
      <x:c r="C29" s="11" t="n">
        <x:v>140</x:v>
      </x:c>
      <x:c r="D29" s="11" t="n">
        <x:v>126</x:v>
      </x:c>
      <x:c r="E29" s="11" t="n">
        <x:f>D29/2</x:f>
        <x:v>63</x:v>
      </x:c>
      <x:c r="F29" s="11" t="n">
        <x:f>C29-D29/2</x:f>
        <x:v>77</x:v>
      </x:c>
      <x:c r="G29" s="11" t="n">
        <x:v>0.1</x:v>
      </x:c>
      <x:c r="H29" s="10" t="str">
        <x:v>693400</x:v>
      </x:c>
      <x:c r="I29" s="12" t="n">
        <x:v>693400</x:v>
      </x:c>
      <x:c r="J29" s="12" t="n">
        <x:v>1</x:v>
      </x:c>
      <x:c r="K29" s="10" t="str">
        <x:v>Failed</x:v>
      </x:c>
      <x:c r="L29" s="10" t="str">
        <x:v>Exact cycles to failure</x:v>
      </x:c>
      <x:c r="M29" s="12" t="n">
        <x:v>85</x:v>
      </x:c>
      <x:c r="N29" s="10" t="str">
        <x:v>Yes</x:v>
      </x:c>
      <x:c r="O29" s="10"/>
      <x:c r="P29" s="10" t="str">
        <x:v>Block stress relief: 300 C / 2 h; natural aging ~2 weeks</x:v>
      </x:c>
      <x:c r="Q29" s="10" t="str">
        <x:v>Ground and polished</x:v>
      </x:c>
      <x:c r="R29" s="10" t="str">
        <x:f>IF(ABS(D29-C29*(1-G29))&lt;0.02,"Matches R","Review stress columns")</x:f>
        <x:v>Matches R</x:v>
      </x:c>
      <x:c r="S29" s="10" t="str">
        <x:v>Candidate: experimental stress-life record; no matched numeric CT feature</x:v>
      </x:c>
      <x:c r="T29" s="10" t="str">
        <x:v>Wu et al. 2021, Table 4, PDF p. 7</x:v>
      </x:c>
      <x:c r="U29" s="10" t="str">
        <x:v>10.1016/j.ijfatigue.2021.106317</x:v>
      </x:c>
      <x:c r="V29" s="10" t="str"/>
    </x:row>
    <x:row r="30" ht="26" customHeight="1">
      <x:c r="A30" s="10" t="str">
        <x:v>V-HCF05</x:v>
      </x:c>
      <x:c r="B30" s="10" t="str">
        <x:v>Vertical</x:v>
      </x:c>
      <x:c r="C30" s="11" t="n">
        <x:v>80</x:v>
      </x:c>
      <x:c r="D30" s="11" t="n">
        <x:v>72</x:v>
      </x:c>
      <x:c r="E30" s="11" t="n">
        <x:f>D30/2</x:f>
        <x:v>36</x:v>
      </x:c>
      <x:c r="F30" s="11" t="n">
        <x:f>C30-D30/2</x:f>
        <x:v>44</x:v>
      </x:c>
      <x:c r="G30" s="11" t="n">
        <x:v>0.1</x:v>
      </x:c>
      <x:c r="H30" s="10" t="str">
        <x:v>669,800</x:v>
      </x:c>
      <x:c r="I30" s="12" t="n">
        <x:v>669800</x:v>
      </x:c>
      <x:c r="J30" s="12" t="n">
        <x:v>1</x:v>
      </x:c>
      <x:c r="K30" s="10" t="str">
        <x:v>Failed</x:v>
      </x:c>
      <x:c r="L30" s="10" t="str">
        <x:v>Exact cycles to failure</x:v>
      </x:c>
      <x:c r="M30" s="12" t="n">
        <x:v>85</x:v>
      </x:c>
      <x:c r="N30" s="10" t="str">
        <x:v>Yes</x:v>
      </x:c>
      <x:c r="O30" s="10"/>
      <x:c r="P30" s="10" t="str">
        <x:v>Block stress relief: 300 C / 2 h; natural aging ~2 weeks</x:v>
      </x:c>
      <x:c r="Q30" s="10" t="str">
        <x:v>Ground and polished</x:v>
      </x:c>
      <x:c r="R30" s="10" t="str">
        <x:f>IF(ABS(D30-C30*(1-G30))&lt;0.02,"Matches R","Review stress columns")</x:f>
        <x:v>Matches R</x:v>
      </x:c>
      <x:c r="S30" s="10" t="str">
        <x:v>Candidate: experimental stress-life record; no matched numeric CT feature</x:v>
      </x:c>
      <x:c r="T30" s="10" t="str">
        <x:v>Wu et al. 2021, Table 4, PDF p. 7</x:v>
      </x:c>
      <x:c r="U30" s="10" t="str">
        <x:v>10.1016/j.ijfatigue.2021.106317</x:v>
      </x:c>
      <x:c r="V30" s="10" t="str"/>
    </x:row>
    <x:row r="31" ht="26" customHeight="1">
      <x:c r="A31" s="10" t="str">
        <x:v>H-HCF16</x:v>
      </x:c>
      <x:c r="B31" s="10" t="str">
        <x:v>Horizontal</x:v>
      </x:c>
      <x:c r="C31" s="11" t="n">
        <x:v>140</x:v>
      </x:c>
      <x:c r="D31" s="11" t="n">
        <x:v>126</x:v>
      </x:c>
      <x:c r="E31" s="11" t="n">
        <x:f>D31/2</x:f>
        <x:v>63</x:v>
      </x:c>
      <x:c r="F31" s="11" t="n">
        <x:f>C31-D31/2</x:f>
        <x:v>77</x:v>
      </x:c>
      <x:c r="G31" s="11" t="n">
        <x:v>0.1</x:v>
      </x:c>
      <x:c r="H31" s="10" t="str">
        <x:v>835600</x:v>
      </x:c>
      <x:c r="I31" s="12" t="n">
        <x:v>835600</x:v>
      </x:c>
      <x:c r="J31" s="12" t="n">
        <x:v>1</x:v>
      </x:c>
      <x:c r="K31" s="10" t="str">
        <x:v>Failed</x:v>
      </x:c>
      <x:c r="L31" s="10" t="str">
        <x:v>Exact cycles to failure</x:v>
      </x:c>
      <x:c r="M31" s="12" t="n">
        <x:v>85</x:v>
      </x:c>
      <x:c r="N31" s="10" t="str">
        <x:v>Yes</x:v>
      </x:c>
      <x:c r="O31" s="10"/>
      <x:c r="P31" s="10" t="str">
        <x:v>Block stress relief: 300 C / 2 h; natural aging ~2 weeks</x:v>
      </x:c>
      <x:c r="Q31" s="10" t="str">
        <x:v>Ground and polished</x:v>
      </x:c>
      <x:c r="R31" s="10" t="str">
        <x:f>IF(ABS(D31-C31*(1-G31))&lt;0.02,"Matches R","Review stress columns")</x:f>
        <x:v>Matches R</x:v>
      </x:c>
      <x:c r="S31" s="10" t="str">
        <x:v>Candidate: experimental stress-life record; no matched numeric CT feature</x:v>
      </x:c>
      <x:c r="T31" s="10" t="str">
        <x:v>Wu et al. 2021, Table 4, PDF p. 7</x:v>
      </x:c>
      <x:c r="U31" s="10" t="str">
        <x:v>10.1016/j.ijfatigue.2021.106317</x:v>
      </x:c>
      <x:c r="V31" s="10" t="str"/>
    </x:row>
    <x:row r="32" ht="26" customHeight="1">
      <x:c r="A32" s="10" t="str">
        <x:v>V-HCF03</x:v>
      </x:c>
      <x:c r="B32" s="10" t="str">
        <x:v>Vertical</x:v>
      </x:c>
      <x:c r="C32" s="11" t="n">
        <x:v>60</x:v>
      </x:c>
      <x:c r="D32" s="11" t="n">
        <x:v>54</x:v>
      </x:c>
      <x:c r="E32" s="11" t="n">
        <x:f>D32/2</x:f>
        <x:v>27</x:v>
      </x:c>
      <x:c r="F32" s="11" t="n">
        <x:f>C32-D32/2</x:f>
        <x:v>33</x:v>
      </x:c>
      <x:c r="G32" s="11" t="n">
        <x:v>0.1</x:v>
      </x:c>
      <x:c r="H32" s="10" t="str">
        <x:v>1,917,300</x:v>
      </x:c>
      <x:c r="I32" s="12" t="n">
        <x:v>1917300</x:v>
      </x:c>
      <x:c r="J32" s="12" t="n">
        <x:v>1</x:v>
      </x:c>
      <x:c r="K32" s="10" t="str">
        <x:v>Failed</x:v>
      </x:c>
      <x:c r="L32" s="10" t="str">
        <x:v>Exact cycles to failure</x:v>
      </x:c>
      <x:c r="M32" s="12" t="n">
        <x:v>85</x:v>
      </x:c>
      <x:c r="N32" s="10" t="str">
        <x:v>Yes</x:v>
      </x:c>
      <x:c r="O32" s="10"/>
      <x:c r="P32" s="10" t="str">
        <x:v>Block stress relief: 300 C / 2 h; natural aging ~2 weeks</x:v>
      </x:c>
      <x:c r="Q32" s="10" t="str">
        <x:v>Ground and polished</x:v>
      </x:c>
      <x:c r="R32" s="10" t="str">
        <x:f>IF(ABS(D32-C32*(1-G32))&lt;0.02,"Matches R","Review stress columns")</x:f>
        <x:v>Matches R</x:v>
      </x:c>
      <x:c r="S32" s="10" t="str">
        <x:v>Candidate: experimental stress-life record; no matched numeric CT feature</x:v>
      </x:c>
      <x:c r="T32" s="10" t="str">
        <x:v>Wu et al. 2021, Table 4, PDF p. 7</x:v>
      </x:c>
      <x:c r="U32" s="10" t="str">
        <x:v>10.1016/j.ijfatigue.2021.106317</x:v>
      </x:c>
      <x:c r="V32" s="10" t="str"/>
    </x:row>
    <x:row r="33" ht="26" customHeight="1">
      <x:c r="A33" s="10" t="str">
        <x:v>H-HCF04</x:v>
      </x:c>
      <x:c r="B33" s="10" t="str">
        <x:v>Horizontal</x:v>
      </x:c>
      <x:c r="C33" s="11" t="n">
        <x:v>147</x:v>
      </x:c>
      <x:c r="D33" s="11" t="n">
        <x:v>132.3</x:v>
      </x:c>
      <x:c r="E33" s="11" t="n">
        <x:f>D33/2</x:f>
        <x:v>66.15</x:v>
      </x:c>
      <x:c r="F33" s="11" t="n">
        <x:f>C33-D33/2</x:f>
        <x:v>80.85</x:v>
      </x:c>
      <x:c r="G33" s="11" t="n">
        <x:v>0.1</x:v>
      </x:c>
      <x:c r="H33" s="10" t="str">
        <x:v>&gt;10,000,000</x:v>
      </x:c>
      <x:c r="I33" s="12" t="n">
        <x:v>10000000</x:v>
      </x:c>
      <x:c r="J33" s="12" t="n">
        <x:v>0</x:v>
      </x:c>
      <x:c r="K33" s="10" t="str">
        <x:v>Runout</x:v>
      </x:c>
      <x:c r="L33" s="10" t="str">
        <x:v>Right-censored at 10,000,000 cycles; exact later stopping cycle not reported.</x:v>
      </x:c>
      <x:c r="M33" s="12" t="n">
        <x:v>85</x:v>
      </x:c>
      <x:c r="N33" s="10" t="str">
        <x:v>Yes</x:v>
      </x:c>
      <x:c r="O33" s="10"/>
      <x:c r="P33" s="10" t="str">
        <x:v>Block stress relief: 300 C / 2 h; natural aging ~2 weeks</x:v>
      </x:c>
      <x:c r="Q33" s="10" t="str">
        <x:v>Ground and polished</x:v>
      </x:c>
      <x:c r="R33" s="10" t="str">
        <x:f>IF(ABS(D33-C33*(1-G33))&lt;0.02,"Matches R","Review stress columns")</x:f>
        <x:v>Matches R</x:v>
      </x:c>
      <x:c r="S33" s="10" t="str">
        <x:v>Candidate: experimental stress-life record; no matched numeric CT feature</x:v>
      </x:c>
      <x:c r="T33" s="10" t="str">
        <x:v>Wu et al. 2021, Table 4, PDF p. 7</x:v>
      </x:c>
      <x:c r="U33" s="10" t="str">
        <x:v>10.1016/j.ijfatigue.2021.106317</x:v>
      </x:c>
      <x:c r="V33" s="10" t="str">
        <x:v>Printed as &gt;10,000,000; retain strict-bound notation in raw text.</x:v>
      </x:c>
    </x:row>
    <x:row r="34" ht="26" customHeight="1">
      <x:c r="A34" s="10" t="str">
        <x:v>V-HCF14</x:v>
      </x:c>
      <x:c r="B34" s="10" t="str">
        <x:v>Vertical</x:v>
      </x:c>
      <x:c r="C34" s="11" t="n">
        <x:v>60</x:v>
      </x:c>
      <x:c r="D34" s="11" t="n">
        <x:v>54</x:v>
      </x:c>
      <x:c r="E34" s="11" t="n">
        <x:f>D34/2</x:f>
        <x:v>27</x:v>
      </x:c>
      <x:c r="F34" s="11" t="n">
        <x:f>C34-D34/2</x:f>
        <x:v>33</x:v>
      </x:c>
      <x:c r="G34" s="11" t="n">
        <x:v>0.1</x:v>
      </x:c>
      <x:c r="H34" s="10" t="str">
        <x:v>3,350,000</x:v>
      </x:c>
      <x:c r="I34" s="12" t="n">
        <x:v>3350000</x:v>
      </x:c>
      <x:c r="J34" s="12" t="n">
        <x:v>1</x:v>
      </x:c>
      <x:c r="K34" s="10" t="str">
        <x:v>Failed</x:v>
      </x:c>
      <x:c r="L34" s="10" t="str">
        <x:v>Exact cycles to failure</x:v>
      </x:c>
      <x:c r="M34" s="12" t="n">
        <x:v>85</x:v>
      </x:c>
      <x:c r="N34" s="10" t="str">
        <x:v>Yes</x:v>
      </x:c>
      <x:c r="O34" s="10"/>
      <x:c r="P34" s="10" t="str">
        <x:v>Block stress relief: 300 C / 2 h; natural aging ~2 weeks</x:v>
      </x:c>
      <x:c r="Q34" s="10" t="str">
        <x:v>Ground and polished</x:v>
      </x:c>
      <x:c r="R34" s="10" t="str">
        <x:f>IF(ABS(D34-C34*(1-G34))&lt;0.02,"Matches R","Review stress columns")</x:f>
        <x:v>Matches R</x:v>
      </x:c>
      <x:c r="S34" s="10" t="str">
        <x:v>Candidate: experimental stress-life record; no matched numeric CT feature</x:v>
      </x:c>
      <x:c r="T34" s="10" t="str">
        <x:v>Wu et al. 2021, Table 4, PDF p. 7</x:v>
      </x:c>
      <x:c r="U34" s="10" t="str">
        <x:v>10.1016/j.ijfatigue.2021.106317</x:v>
      </x:c>
      <x:c r="V34" s="10" t="str"/>
    </x:row>
    <x:row r="35" ht="26" customHeight="1">
      <x:c r="A35" s="10" t="str">
        <x:v>H-HCF07</x:v>
      </x:c>
      <x:c r="B35" s="10" t="str">
        <x:v>Horizontal</x:v>
      </x:c>
      <x:c r="C35" s="11" t="n">
        <x:v>133</x:v>
      </x:c>
      <x:c r="D35" s="11" t="n">
        <x:v>119.7</x:v>
      </x:c>
      <x:c r="E35" s="11" t="n">
        <x:f>D35/2</x:f>
        <x:v>59.85</x:v>
      </x:c>
      <x:c r="F35" s="11" t="n">
        <x:f>C35-D35/2</x:f>
        <x:v>73.15</x:v>
      </x:c>
      <x:c r="G35" s="11" t="n">
        <x:v>0.1</x:v>
      </x:c>
      <x:c r="H35" s="10" t="str">
        <x:v>&gt;10,000,000</x:v>
      </x:c>
      <x:c r="I35" s="12" t="n">
        <x:v>10000000</x:v>
      </x:c>
      <x:c r="J35" s="12" t="n">
        <x:v>0</x:v>
      </x:c>
      <x:c r="K35" s="10" t="str">
        <x:v>Runout</x:v>
      </x:c>
      <x:c r="L35" s="10" t="str">
        <x:v>Right-censored at 10,000,000 cycles; exact later stopping cycle not reported.</x:v>
      </x:c>
      <x:c r="M35" s="12" t="n">
        <x:v>85</x:v>
      </x:c>
      <x:c r="N35" s="10" t="str">
        <x:v>Yes</x:v>
      </x:c>
      <x:c r="O35" s="10"/>
      <x:c r="P35" s="10" t="str">
        <x:v>Block stress relief: 300 C / 2 h; natural aging ~2 weeks</x:v>
      </x:c>
      <x:c r="Q35" s="10" t="str">
        <x:v>Ground and polished</x:v>
      </x:c>
      <x:c r="R35" s="10" t="str">
        <x:f>IF(ABS(D35-C35*(1-G35))&lt;0.02,"Matches R","Review stress columns")</x:f>
        <x:v>Matches R</x:v>
      </x:c>
      <x:c r="S35" s="10" t="str">
        <x:v>Candidate: experimental stress-life record; no matched numeric CT feature</x:v>
      </x:c>
      <x:c r="T35" s="10" t="str">
        <x:v>Wu et al. 2021, Table 4, PDF p. 7</x:v>
      </x:c>
      <x:c r="U35" s="10" t="str">
        <x:v>10.1016/j.ijfatigue.2021.106317</x:v>
      </x:c>
      <x:c r="V35" s="10" t="str">
        <x:v>Printed as &gt;10,000,000; retain strict-bound notation in raw text.</x:v>
      </x:c>
    </x:row>
    <x:row r="36" ht="26" customHeight="1">
      <x:c r="A36" s="10" t="str">
        <x:v>V-HCF17</x:v>
      </x:c>
      <x:c r="B36" s="10" t="str">
        <x:v>Vertical</x:v>
      </x:c>
      <x:c r="C36" s="11" t="n">
        <x:v>60</x:v>
      </x:c>
      <x:c r="D36" s="11" t="n">
        <x:v>54</x:v>
      </x:c>
      <x:c r="E36" s="11" t="n">
        <x:f>D36/2</x:f>
        <x:v>27</x:v>
      </x:c>
      <x:c r="F36" s="11" t="n">
        <x:f>C36-D36/2</x:f>
        <x:v>33</x:v>
      </x:c>
      <x:c r="G36" s="11" t="n">
        <x:v>0.1</x:v>
      </x:c>
      <x:c r="H36" s="10" t="str">
        <x:v>1,726,300</x:v>
      </x:c>
      <x:c r="I36" s="12" t="n">
        <x:v>1726300</x:v>
      </x:c>
      <x:c r="J36" s="12" t="n">
        <x:v>1</x:v>
      </x:c>
      <x:c r="K36" s="10" t="str">
        <x:v>Failed</x:v>
      </x:c>
      <x:c r="L36" s="10" t="str">
        <x:v>Exact cycles to failure</x:v>
      </x:c>
      <x:c r="M36" s="12" t="n">
        <x:v>85</x:v>
      </x:c>
      <x:c r="N36" s="10" t="str">
        <x:v>Yes</x:v>
      </x:c>
      <x:c r="O36" s="10"/>
      <x:c r="P36" s="10" t="str">
        <x:v>Block stress relief: 300 C / 2 h; natural aging ~2 weeks</x:v>
      </x:c>
      <x:c r="Q36" s="10" t="str">
        <x:v>Ground and polished</x:v>
      </x:c>
      <x:c r="R36" s="10" t="str">
        <x:f>IF(ABS(D36-C36*(1-G36))&lt;0.02,"Matches R","Review stress columns")</x:f>
        <x:v>Matches R</x:v>
      </x:c>
      <x:c r="S36" s="10" t="str">
        <x:v>Candidate: experimental stress-life record; no matched numeric CT feature</x:v>
      </x:c>
      <x:c r="T36" s="10" t="str">
        <x:v>Wu et al. 2021, Table 4, PDF p. 7</x:v>
      </x:c>
      <x:c r="U36" s="10" t="str">
        <x:v>10.1016/j.ijfatigue.2021.106317</x:v>
      </x:c>
      <x:c r="V36" s="10" t="str"/>
    </x:row>
    <x:row r="37" ht="26" customHeight="1">
      <x:c r="A37" s="10" t="str">
        <x:v>H-HCF03</x:v>
      </x:c>
      <x:c r="B37" s="10" t="str">
        <x:v>Horizontal</x:v>
      </x:c>
      <x:c r="C37" s="11" t="n">
        <x:v>133</x:v>
      </x:c>
      <x:c r="D37" s="11" t="n">
        <x:v>119.7</x:v>
      </x:c>
      <x:c r="E37" s="11" t="n">
        <x:f>D37/2</x:f>
        <x:v>59.85</x:v>
      </x:c>
      <x:c r="F37" s="11" t="n">
        <x:f>C37-D37/2</x:f>
        <x:v>73.15</x:v>
      </x:c>
      <x:c r="G37" s="11" t="n">
        <x:v>0.1</x:v>
      </x:c>
      <x:c r="H37" s="10" t="str">
        <x:v>&gt;10,000,000</x:v>
      </x:c>
      <x:c r="I37" s="12" t="n">
        <x:v>10000000</x:v>
      </x:c>
      <x:c r="J37" s="12" t="n">
        <x:v>0</x:v>
      </x:c>
      <x:c r="K37" s="10" t="str">
        <x:v>Runout</x:v>
      </x:c>
      <x:c r="L37" s="10" t="str">
        <x:v>Right-censored at 10,000,000 cycles; exact later stopping cycle not reported.</x:v>
      </x:c>
      <x:c r="M37" s="12" t="n">
        <x:v>85</x:v>
      </x:c>
      <x:c r="N37" s="10" t="str">
        <x:v>Yes</x:v>
      </x:c>
      <x:c r="O37" s="10"/>
      <x:c r="P37" s="10" t="str">
        <x:v>Block stress relief: 300 C / 2 h; natural aging ~2 weeks</x:v>
      </x:c>
      <x:c r="Q37" s="10" t="str">
        <x:v>Ground and polished</x:v>
      </x:c>
      <x:c r="R37" s="10" t="str">
        <x:f>IF(ABS(D37-C37*(1-G37))&lt;0.02,"Matches R","Review stress columns")</x:f>
        <x:v>Matches R</x:v>
      </x:c>
      <x:c r="S37" s="10" t="str">
        <x:v>Candidate: experimental stress-life record; no matched numeric CT feature</x:v>
      </x:c>
      <x:c r="T37" s="10" t="str">
        <x:v>Wu et al. 2021, Table 4, PDF p. 7</x:v>
      </x:c>
      <x:c r="U37" s="10" t="str">
        <x:v>10.1016/j.ijfatigue.2021.106317</x:v>
      </x:c>
      <x:c r="V37" s="10" t="str">
        <x:v>Printed as &gt;10,000,000; retain strict-bound notation in raw text.</x:v>
      </x:c>
    </x:row>
    <x:row r="38" ht="26" customHeight="1">
      <x:c r="A38" s="10" t="str">
        <x:v>V-HCF10</x:v>
      </x:c>
      <x:c r="B38" s="10" t="str">
        <x:v>Vertical</x:v>
      </x:c>
      <x:c r="C38" s="11" t="n">
        <x:v>60</x:v>
      </x:c>
      <x:c r="D38" s="11" t="n">
        <x:v>54</x:v>
      </x:c>
      <x:c r="E38" s="11" t="n">
        <x:f>D38/2</x:f>
        <x:v>27</x:v>
      </x:c>
      <x:c r="F38" s="11" t="n">
        <x:f>C38-D38/2</x:f>
        <x:v>33</x:v>
      </x:c>
      <x:c r="G38" s="11" t="n">
        <x:v>0.1</x:v>
      </x:c>
      <x:c r="H38" s="10" t="str">
        <x:v>&gt;10,000,000</x:v>
      </x:c>
      <x:c r="I38" s="12" t="n">
        <x:v>10000000</x:v>
      </x:c>
      <x:c r="J38" s="12" t="n">
        <x:v>0</x:v>
      </x:c>
      <x:c r="K38" s="10" t="str">
        <x:v>Runout</x:v>
      </x:c>
      <x:c r="L38" s="10" t="str">
        <x:v>Right-censored at 10,000,000 cycles; exact later stopping cycle not reported.</x:v>
      </x:c>
      <x:c r="M38" s="12" t="n">
        <x:v>85</x:v>
      </x:c>
      <x:c r="N38" s="10" t="str">
        <x:v>Yes</x:v>
      </x:c>
      <x:c r="O38" s="10"/>
      <x:c r="P38" s="10" t="str">
        <x:v>Block stress relief: 300 C / 2 h; natural aging ~2 weeks</x:v>
      </x:c>
      <x:c r="Q38" s="10" t="str">
        <x:v>Ground and polished</x:v>
      </x:c>
      <x:c r="R38" s="10" t="str">
        <x:f>IF(ABS(D38-C38*(1-G38))&lt;0.02,"Matches R","Review stress columns")</x:f>
        <x:v>Matches R</x:v>
      </x:c>
      <x:c r="S38" s="10" t="str">
        <x:v>Candidate: experimental stress-life record; no matched numeric CT feature</x:v>
      </x:c>
      <x:c r="T38" s="10" t="str">
        <x:v>Wu et al. 2021, Table 4, PDF p. 7</x:v>
      </x:c>
      <x:c r="U38" s="10" t="str">
        <x:v>10.1016/j.ijfatigue.2021.106317</x:v>
      </x:c>
      <x:c r="V38" s="10" t="str">
        <x:v>Printed as &gt;10,000,000; retain strict-bound notation in raw text.</x:v>
      </x:c>
    </x:row>
    <x:row r="39" ht="26" customHeight="1">
      <x:c r="A39" s="10" t="str">
        <x:v>H-HCF08</x:v>
      </x:c>
      <x:c r="B39" s="10" t="str">
        <x:v>Horizontal</x:v>
      </x:c>
      <x:c r="C39" s="11" t="n">
        <x:v>127</x:v>
      </x:c>
      <x:c r="D39" s="11" t="n">
        <x:v>114.3</x:v>
      </x:c>
      <x:c r="E39" s="11" t="n">
        <x:f>D39/2</x:f>
        <x:v>57.15</x:v>
      </x:c>
      <x:c r="F39" s="11" t="n">
        <x:f>C39-D39/2</x:f>
        <x:v>69.85</x:v>
      </x:c>
      <x:c r="G39" s="11" t="n">
        <x:v>0.1</x:v>
      </x:c>
      <x:c r="H39" s="10" t="str">
        <x:v>&gt;10,000,000</x:v>
      </x:c>
      <x:c r="I39" s="12" t="n">
        <x:v>10000000</x:v>
      </x:c>
      <x:c r="J39" s="12" t="n">
        <x:v>0</x:v>
      </x:c>
      <x:c r="K39" s="10" t="str">
        <x:v>Runout</x:v>
      </x:c>
      <x:c r="L39" s="10" t="str">
        <x:v>Right-censored at 10,000,000 cycles; exact later stopping cycle not reported.</x:v>
      </x:c>
      <x:c r="M39" s="12" t="n">
        <x:v>85</x:v>
      </x:c>
      <x:c r="N39" s="10" t="str">
        <x:v>Yes</x:v>
      </x:c>
      <x:c r="O39" s="10"/>
      <x:c r="P39" s="10" t="str">
        <x:v>Block stress relief: 300 C / 2 h; natural aging ~2 weeks</x:v>
      </x:c>
      <x:c r="Q39" s="10" t="str">
        <x:v>Ground and polished</x:v>
      </x:c>
      <x:c r="R39" s="10" t="str">
        <x:f>IF(ABS(D39-C39*(1-G39))&lt;0.02,"Matches R","Review stress columns")</x:f>
        <x:v>Matches R</x:v>
      </x:c>
      <x:c r="S39" s="10" t="str">
        <x:v>Candidate: experimental stress-life record; no matched numeric CT feature</x:v>
      </x:c>
      <x:c r="T39" s="10" t="str">
        <x:v>Wu et al. 2021, Table 4, PDF p. 7</x:v>
      </x:c>
      <x:c r="U39" s="10" t="str">
        <x:v>10.1016/j.ijfatigue.2021.106317</x:v>
      </x:c>
      <x:c r="V39" s="10" t="str">
        <x:v>Printed as &gt;10,000,000; retain strict-bound notation in raw text.</x:v>
      </x:c>
    </x:row>
    <x:row r="40" ht="26" customHeight="1">
      <x:c r="A40" s="10" t="str">
        <x:v>V-HCF15</x:v>
      </x:c>
      <x:c r="B40" s="10" t="str">
        <x:v>Vertical</x:v>
      </x:c>
      <x:c r="C40" s="11" t="n">
        <x:v>60</x:v>
      </x:c>
      <x:c r="D40" s="11" t="n">
        <x:v>54</x:v>
      </x:c>
      <x:c r="E40" s="11" t="n">
        <x:f>D40/2</x:f>
        <x:v>27</x:v>
      </x:c>
      <x:c r="F40" s="11" t="n">
        <x:f>C40-D40/2</x:f>
        <x:v>33</x:v>
      </x:c>
      <x:c r="G40" s="11" t="n">
        <x:v>0.1</x:v>
      </x:c>
      <x:c r="H40" s="10" t="str">
        <x:v>&gt;10,000,000</x:v>
      </x:c>
      <x:c r="I40" s="12" t="n">
        <x:v>10000000</x:v>
      </x:c>
      <x:c r="J40" s="12" t="n">
        <x:v>0</x:v>
      </x:c>
      <x:c r="K40" s="10" t="str">
        <x:v>Runout</x:v>
      </x:c>
      <x:c r="L40" s="10" t="str">
        <x:v>Right-censored at 10,000,000 cycles; exact later stopping cycle not reported.</x:v>
      </x:c>
      <x:c r="M40" s="12" t="n">
        <x:v>85</x:v>
      </x:c>
      <x:c r="N40" s="10" t="str">
        <x:v>Yes</x:v>
      </x:c>
      <x:c r="O40" s="10"/>
      <x:c r="P40" s="10" t="str">
        <x:v>Block stress relief: 300 C / 2 h; natural aging ~2 weeks</x:v>
      </x:c>
      <x:c r="Q40" s="10" t="str">
        <x:v>Ground and polished</x:v>
      </x:c>
      <x:c r="R40" s="10" t="str">
        <x:f>IF(ABS(D40-C40*(1-G40))&lt;0.02,"Matches R","Review stress columns")</x:f>
        <x:v>Matches R</x:v>
      </x:c>
      <x:c r="S40" s="10" t="str">
        <x:v>Candidate: experimental stress-life record; no matched numeric CT feature</x:v>
      </x:c>
      <x:c r="T40" s="10" t="str">
        <x:v>Wu et al. 2021, Table 4, PDF p. 7</x:v>
      </x:c>
      <x:c r="U40" s="10" t="str">
        <x:v>10.1016/j.ijfatigue.2021.106317</x:v>
      </x:c>
      <x:c r="V40" s="10" t="str">
        <x:v>Printed as &gt;10,000,000; retain strict-bound notation in raw text.</x:v>
      </x:c>
    </x:row>
    <x:row r="41" ht="26" customHeight="1">
      <x:c r="A41" s="10" t="str">
        <x:v>V-HCF08</x:v>
      </x:c>
      <x:c r="B41" s="10" t="str">
        <x:v>Vertical</x:v>
      </x:c>
      <x:c r="C41" s="11" t="n">
        <x:v>50</x:v>
      </x:c>
      <x:c r="D41" s="11" t="n">
        <x:v>45</x:v>
      </x:c>
      <x:c r="E41" s="11" t="n">
        <x:f>D41/2</x:f>
        <x:v>22.5</x:v>
      </x:c>
      <x:c r="F41" s="11" t="n">
        <x:f>C41-D41/2</x:f>
        <x:v>27.5</x:v>
      </x:c>
      <x:c r="G41" s="11" t="n">
        <x:v>0.1</x:v>
      </x:c>
      <x:c r="H41" s="10" t="str">
        <x:v>&gt;10,000,000</x:v>
      </x:c>
      <x:c r="I41" s="12" t="n">
        <x:v>10000000</x:v>
      </x:c>
      <x:c r="J41" s="12" t="n">
        <x:v>0</x:v>
      </x:c>
      <x:c r="K41" s="10" t="str">
        <x:v>Runout</x:v>
      </x:c>
      <x:c r="L41" s="10" t="str">
        <x:v>Right-censored at 10,000,000 cycles; exact later stopping cycle not reported.</x:v>
      </x:c>
      <x:c r="M41" s="12" t="n">
        <x:v>85</x:v>
      </x:c>
      <x:c r="N41" s="10" t="str">
        <x:v>Yes</x:v>
      </x:c>
      <x:c r="O41" s="10"/>
      <x:c r="P41" s="10" t="str">
        <x:v>Block stress relief: 300 C / 2 h; natural aging ~2 weeks</x:v>
      </x:c>
      <x:c r="Q41" s="10" t="str">
        <x:v>Ground and polished</x:v>
      </x:c>
      <x:c r="R41" s="10" t="str">
        <x:f>IF(ABS(D41-C41*(1-G41))&lt;0.02,"Matches R","Review stress columns")</x:f>
        <x:v>Matches R</x:v>
      </x:c>
      <x:c r="S41" s="10" t="str">
        <x:v>Candidate: experimental stress-life record; no matched numeric CT feature</x:v>
      </x:c>
      <x:c r="T41" s="10" t="str">
        <x:v>Wu et al. 2021, Table 4, PDF p. 7</x:v>
      </x:c>
      <x:c r="U41" s="10" t="str">
        <x:v>10.1016/j.ijfatigue.2021.106317</x:v>
      </x:c>
      <x:c r="V41" s="10" t="str">
        <x:v>Printed as &gt;10,000,000; retain strict-bound notation in raw text.</x:v>
      </x:c>
    </x:row>
    <x:row r="42" ht="26" customHeight="1">
      <x:c r="A42" s="10" t="str">
        <x:v>V-HCF16</x:v>
      </x:c>
      <x:c r="B42" s="10" t="str">
        <x:v>Vertical</x:v>
      </x:c>
      <x:c r="C42" s="11" t="n">
        <x:v>50</x:v>
      </x:c>
      <x:c r="D42" s="11" t="n">
        <x:v>45</x:v>
      </x:c>
      <x:c r="E42" s="11" t="n">
        <x:f>D42/2</x:f>
        <x:v>22.5</x:v>
      </x:c>
      <x:c r="F42" s="11" t="n">
        <x:f>C42-D42/2</x:f>
        <x:v>27.5</x:v>
      </x:c>
      <x:c r="G42" s="11" t="n">
        <x:v>0.1</x:v>
      </x:c>
      <x:c r="H42" s="10" t="str">
        <x:v>&gt;10,000,000</x:v>
      </x:c>
      <x:c r="I42" s="12" t="n">
        <x:v>10000000</x:v>
      </x:c>
      <x:c r="J42" s="12" t="n">
        <x:v>0</x:v>
      </x:c>
      <x:c r="K42" s="10" t="str">
        <x:v>Runout</x:v>
      </x:c>
      <x:c r="L42" s="10" t="str">
        <x:v>Right-censored at 10,000,000 cycles; exact later stopping cycle not reported.</x:v>
      </x:c>
      <x:c r="M42" s="12" t="n">
        <x:v>85</x:v>
      </x:c>
      <x:c r="N42" s="10" t="str">
        <x:v>Yes</x:v>
      </x:c>
      <x:c r="O42" s="10"/>
      <x:c r="P42" s="10" t="str">
        <x:v>Block stress relief: 300 C / 2 h; natural aging ~2 weeks</x:v>
      </x:c>
      <x:c r="Q42" s="10" t="str">
        <x:v>Ground and polished</x:v>
      </x:c>
      <x:c r="R42" s="10" t="str">
        <x:f>IF(ABS(D42-C42*(1-G42))&lt;0.02,"Matches R","Review stress columns")</x:f>
        <x:v>Matches R</x:v>
      </x:c>
      <x:c r="S42" s="10" t="str">
        <x:v>Candidate: experimental stress-life record; no matched numeric CT feature</x:v>
      </x:c>
      <x:c r="T42" s="10" t="str">
        <x:v>Wu et al. 2021, Table 4, PDF p. 7</x:v>
      </x:c>
      <x:c r="U42" s="10" t="str">
        <x:v>10.1016/j.ijfatigue.2021.106317</x:v>
      </x:c>
      <x:c r="V42" s="10" t="str">
        <x:v>Printed as &gt;10,000,000; retain strict-bound notation in raw text.</x:v>
      </x:c>
    </x:row>
  </x:sheetData>
  <x:pageMargins left="0.7" right="0.7" top="0.75" bottom="0.75" header="0.3" footer="0.3"/>
  <x:tableParts count="1">
    <x:tablePart xmlns:r="http://schemas.openxmlformats.org/officeDocument/2006/relationships" r:id="R026776e92cfc4cff"/>
  </x:tableParts>
</x:worksheet>
</file>