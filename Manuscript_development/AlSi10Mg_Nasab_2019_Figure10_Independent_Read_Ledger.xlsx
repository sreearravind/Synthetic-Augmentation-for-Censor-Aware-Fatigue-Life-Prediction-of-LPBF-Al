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P\PycharmProjects\Synthetic-Augmentation-for-Censor-Aware-Fatigue-Life-Prediction-of-LPBF-Al\Manuscript_development\"/>
    </mc:Choice>
  </mc:AlternateContent>
  <xr:revisionPtr revIDLastSave="0" documentId="13_ncr:1_{C8A3AC81-15FD-4B1C-B92A-691C5BB61A2A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pecimen ledger" sheetId="1" r:id="rId1"/>
    <sheet name="Reading audi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5" i="1" l="1"/>
  <c r="J55" i="1"/>
  <c r="I55" i="1"/>
  <c r="K54" i="1"/>
  <c r="J54" i="1"/>
  <c r="I54" i="1"/>
  <c r="K53" i="1"/>
  <c r="J53" i="1"/>
  <c r="I53" i="1"/>
  <c r="K52" i="1"/>
  <c r="J52" i="1"/>
  <c r="I52" i="1"/>
  <c r="K51" i="1"/>
  <c r="J51" i="1"/>
  <c r="I51" i="1"/>
  <c r="K50" i="1"/>
  <c r="J50" i="1"/>
  <c r="I50" i="1"/>
  <c r="K49" i="1"/>
  <c r="J49" i="1"/>
  <c r="I49" i="1"/>
  <c r="K48" i="1"/>
  <c r="J48" i="1"/>
  <c r="I48" i="1"/>
  <c r="K47" i="1"/>
  <c r="J47" i="1"/>
  <c r="I47" i="1"/>
  <c r="K46" i="1"/>
  <c r="J46" i="1"/>
  <c r="I46" i="1"/>
  <c r="K45" i="1"/>
  <c r="J45" i="1"/>
  <c r="I45" i="1"/>
  <c r="K44" i="1"/>
  <c r="J44" i="1"/>
  <c r="I44" i="1"/>
  <c r="K43" i="1"/>
  <c r="J43" i="1"/>
  <c r="I43" i="1"/>
  <c r="K42" i="1"/>
  <c r="J42" i="1"/>
  <c r="I42" i="1"/>
  <c r="K41" i="1"/>
  <c r="J41" i="1"/>
  <c r="I41" i="1"/>
  <c r="K40" i="1"/>
  <c r="J40" i="1"/>
  <c r="I40" i="1"/>
  <c r="K39" i="1"/>
  <c r="J39" i="1"/>
  <c r="I39" i="1"/>
  <c r="K38" i="1"/>
  <c r="J38" i="1"/>
  <c r="I38" i="1"/>
  <c r="K37" i="1"/>
  <c r="J37" i="1"/>
  <c r="I37" i="1"/>
  <c r="K36" i="1"/>
  <c r="J36" i="1"/>
  <c r="I36" i="1"/>
  <c r="K35" i="1"/>
  <c r="J35" i="1"/>
  <c r="I35" i="1"/>
  <c r="K34" i="1"/>
  <c r="J34" i="1"/>
  <c r="I34" i="1"/>
  <c r="K33" i="1"/>
  <c r="J33" i="1"/>
  <c r="I33" i="1"/>
  <c r="K32" i="1"/>
  <c r="J32" i="1"/>
  <c r="I32" i="1"/>
  <c r="K31" i="1"/>
  <c r="J31" i="1"/>
  <c r="I31" i="1"/>
  <c r="K30" i="1"/>
  <c r="J30" i="1"/>
  <c r="I30" i="1"/>
  <c r="K29" i="1"/>
  <c r="J29" i="1"/>
  <c r="I29" i="1"/>
  <c r="K28" i="1"/>
  <c r="J28" i="1"/>
  <c r="I28" i="1"/>
  <c r="K27" i="1"/>
  <c r="J27" i="1"/>
  <c r="I27" i="1"/>
  <c r="K26" i="1"/>
  <c r="J26" i="1"/>
  <c r="I26" i="1"/>
  <c r="K25" i="1"/>
  <c r="J25" i="1"/>
  <c r="I25" i="1"/>
  <c r="K24" i="1"/>
  <c r="J24" i="1"/>
  <c r="I24" i="1"/>
  <c r="K23" i="1"/>
  <c r="J23" i="1"/>
  <c r="I23" i="1"/>
  <c r="K22" i="1"/>
  <c r="J22" i="1"/>
  <c r="I22" i="1"/>
  <c r="K21" i="1"/>
  <c r="J21" i="1"/>
  <c r="I21" i="1"/>
  <c r="K20" i="1"/>
  <c r="J20" i="1"/>
  <c r="I20" i="1"/>
  <c r="K19" i="1"/>
  <c r="J19" i="1"/>
  <c r="I19" i="1"/>
  <c r="K18" i="1"/>
  <c r="J18" i="1"/>
  <c r="I18" i="1"/>
  <c r="K17" i="1"/>
  <c r="J17" i="1"/>
  <c r="I17" i="1"/>
  <c r="K16" i="1"/>
  <c r="J16" i="1"/>
  <c r="I16" i="1"/>
  <c r="K15" i="1"/>
  <c r="J15" i="1"/>
  <c r="I15" i="1"/>
  <c r="K14" i="1"/>
  <c r="J14" i="1"/>
  <c r="I14" i="1"/>
  <c r="K13" i="1"/>
  <c r="J13" i="1"/>
  <c r="I13" i="1"/>
  <c r="K12" i="1"/>
  <c r="J12" i="1"/>
  <c r="I12" i="1"/>
  <c r="K11" i="1"/>
  <c r="J11" i="1"/>
  <c r="I11" i="1"/>
  <c r="K10" i="1"/>
  <c r="J10" i="1"/>
  <c r="I10" i="1"/>
  <c r="K9" i="1"/>
  <c r="J9" i="1"/>
  <c r="I9" i="1"/>
  <c r="K8" i="1"/>
  <c r="J8" i="1"/>
  <c r="I8" i="1"/>
  <c r="K7" i="1"/>
  <c r="J7" i="1"/>
  <c r="I7" i="1"/>
</calcChain>
</file>

<file path=xl/sharedStrings.xml><?xml version="1.0" encoding="utf-8"?>
<sst xmlns="http://schemas.openxmlformats.org/spreadsheetml/2006/main" count="475" uniqueCount="146">
  <si>
    <t>Hamidi Nasab 2019 — Figure 10 specimen ledger</t>
  </si>
  <si>
    <t>Primary: 46 positions = 40 failures + 6 runouts; 3 blended positions held</t>
  </si>
  <si>
    <t>Source: https://doi.org/10.3390/met9101063 — Fig. 10, PDF p. 10. Figure values are graphical estimates.</t>
  </si>
  <si>
    <t>All six runouts are censored at the paper-defined 5,000,000-cycle stop; intervals reflect glyph width, not measured specimen scatter.</t>
  </si>
  <si>
    <t>Record ID</t>
  </si>
  <si>
    <t>Surface finish</t>
  </si>
  <si>
    <t>Primary?</t>
  </si>
  <si>
    <t>Outcome</t>
  </si>
  <si>
    <t>σmax MPa</t>
  </si>
  <si>
    <t>σmax low</t>
  </si>
  <si>
    <t>σmax high</t>
  </si>
  <si>
    <t>R</t>
  </si>
  <si>
    <t>σa MPa</t>
  </si>
  <si>
    <t>σa low</t>
  </si>
  <si>
    <t>σa high</t>
  </si>
  <si>
    <t>Cycles / stop</t>
  </si>
  <si>
    <t>Cycles glyph low</t>
  </si>
  <si>
    <t>Cycles glyph high</t>
  </si>
  <si>
    <t>Reconciliation</t>
  </si>
  <si>
    <t>HN2019_VF_01</t>
  </si>
  <si>
    <t>vibrofinished</t>
  </si>
  <si>
    <t>YES</t>
  </si>
  <si>
    <t>failure</t>
  </si>
  <si>
    <t>agreed_visible_position</t>
  </si>
  <si>
    <t>HN2019_VF_02</t>
  </si>
  <si>
    <t>HN2019_VF_03</t>
  </si>
  <si>
    <t>HN2019_VF_04</t>
  </si>
  <si>
    <t>HN2019_VF_05</t>
  </si>
  <si>
    <t>HN2019_VF_06</t>
  </si>
  <si>
    <t>HN2019_VF_07</t>
  </si>
  <si>
    <t>HN2019_VF_08</t>
  </si>
  <si>
    <t>HN2019_VF_09</t>
  </si>
  <si>
    <t>HN2019_VF_10</t>
  </si>
  <si>
    <t>HN2019_VF_11</t>
  </si>
  <si>
    <t>HN2019_VF_12</t>
  </si>
  <si>
    <t>HN2019_VF_13</t>
  </si>
  <si>
    <t>HN2019_VF_14</t>
  </si>
  <si>
    <t>HN2019_VF_15</t>
  </si>
  <si>
    <t>HOLD</t>
  </si>
  <si>
    <t>vector_resolved_raster_blended</t>
  </si>
  <si>
    <t>HN2019_VF_16</t>
  </si>
  <si>
    <t>runout</t>
  </si>
  <si>
    <t>HN2019_VF_17</t>
  </si>
  <si>
    <t>HN2019_SB_01</t>
  </si>
  <si>
    <t>sandblasted</t>
  </si>
  <si>
    <t>HN2019_SB_02</t>
  </si>
  <si>
    <t>HN2019_SB_03</t>
  </si>
  <si>
    <t>HN2019_SB_04</t>
  </si>
  <si>
    <t>HN2019_SB_05</t>
  </si>
  <si>
    <t>HN2019_SB_06</t>
  </si>
  <si>
    <t>HN2019_SB_07</t>
  </si>
  <si>
    <t>HN2019_SB_08</t>
  </si>
  <si>
    <t>HN2019_SB_09</t>
  </si>
  <si>
    <t>HN2019_SB_10</t>
  </si>
  <si>
    <t>HN2019_SB_11</t>
  </si>
  <si>
    <t>HN2019_SB_12</t>
  </si>
  <si>
    <t>HN2019_SB_13</t>
  </si>
  <si>
    <t>HN2019_SB_14</t>
  </si>
  <si>
    <t>HN2019_SB_15</t>
  </si>
  <si>
    <t>HN2019_SB_16</t>
  </si>
  <si>
    <t>HN2019_SB_17</t>
  </si>
  <si>
    <t>HN2019_MP_01</t>
  </si>
  <si>
    <t>machined and polished</t>
  </si>
  <si>
    <t>HN2019_MP_02</t>
  </si>
  <si>
    <t>HN2019_MP_03</t>
  </si>
  <si>
    <t>HN2019_MP_04</t>
  </si>
  <si>
    <t>HN2019_MP_05</t>
  </si>
  <si>
    <t>HN2019_MP_06</t>
  </si>
  <si>
    <t>HN2019_MP_07</t>
  </si>
  <si>
    <t>HN2019_MP_08</t>
  </si>
  <si>
    <t>HN2019_MP_09</t>
  </si>
  <si>
    <t>HN2019_MP_10</t>
  </si>
  <si>
    <t>HN2019_MP_11</t>
  </si>
  <si>
    <t>HN2019_MP_12</t>
  </si>
  <si>
    <t>HN2019_MP_13</t>
  </si>
  <si>
    <t>HN2019_MP_14</t>
  </si>
  <si>
    <t>HN2019_MP_15</t>
  </si>
  <si>
    <t>Separate vector and raster readings</t>
  </si>
  <si>
    <t>A: PDF outline coordinates; B: independent 5× raster template centers. Agreement cutoff: 3.2 image pixels.</t>
  </si>
  <si>
    <t>A PDF source contains clipped paths; only colored outlines visible in the rendered page were retained.</t>
  </si>
  <si>
    <t>Extra coincident paths are recorded, but each visible coordinate contributes at most one primary row.</t>
  </si>
  <si>
    <t>A PDF x</t>
  </si>
  <si>
    <t>A PDF y</t>
  </si>
  <si>
    <t>A paths</t>
  </si>
  <si>
    <t>A path seq.</t>
  </si>
  <si>
    <t>B image x</t>
  </si>
  <si>
    <t>B image y</t>
  </si>
  <si>
    <t>B score</t>
  </si>
  <si>
    <t>Center Δ px</t>
  </si>
  <si>
    <t>Decision</t>
  </si>
  <si>
    <t>Adjudication note</t>
  </si>
  <si>
    <t>219</t>
  </si>
  <si>
    <t>AGREED</t>
  </si>
  <si>
    <t>Failure life read from plotted symbol center.</t>
  </si>
  <si>
    <t>225</t>
  </si>
  <si>
    <t>223</t>
  </si>
  <si>
    <t>215</t>
  </si>
  <si>
    <t>217</t>
  </si>
  <si>
    <t>221</t>
  </si>
  <si>
    <t>187</t>
  </si>
  <si>
    <t>189</t>
  </si>
  <si>
    <t>191</t>
  </si>
  <si>
    <t>193</t>
  </si>
  <si>
    <t>195</t>
  </si>
  <si>
    <t>199</t>
  </si>
  <si>
    <t>209</t>
  </si>
  <si>
    <t>211</t>
  </si>
  <si>
    <t>205</t>
  </si>
  <si>
    <t>Raster template cannot isolate this heavily overlapping outline; hold out of primary count. Failure life read from plotted symbol center.</t>
  </si>
  <si>
    <t>203,207</t>
  </si>
  <si>
    <t>Additional exactly coincident outline paths (1) cannot prove distinct specimens; count one visible position. Right-censored at paper's 5e6-cycle limit; do not score as a failure.</t>
  </si>
  <si>
    <t>197,201,213</t>
  </si>
  <si>
    <t>Additional exactly coincident outline paths (2) cannot prove distinct specimens; count one visible position. Right-censored at paper's 5e6-cycle limit; do not score as a failure.</t>
  </si>
  <si>
    <t>255</t>
  </si>
  <si>
    <t>263</t>
  </si>
  <si>
    <t>245</t>
  </si>
  <si>
    <t>259</t>
  </si>
  <si>
    <t>247</t>
  </si>
  <si>
    <t>257</t>
  </si>
  <si>
    <t>233</t>
  </si>
  <si>
    <t>251</t>
  </si>
  <si>
    <t>243</t>
  </si>
  <si>
    <t>249</t>
  </si>
  <si>
    <t>261</t>
  </si>
  <si>
    <t>253</t>
  </si>
  <si>
    <t>239</t>
  </si>
  <si>
    <t>235</t>
  </si>
  <si>
    <t>227</t>
  </si>
  <si>
    <t>231</t>
  </si>
  <si>
    <t>Right-censored at paper's 5e6-cycle limit; do not score as a failure.</t>
  </si>
  <si>
    <t>229,237,241</t>
  </si>
  <si>
    <t>280</t>
  </si>
  <si>
    <t>298</t>
  </si>
  <si>
    <t>268</t>
  </si>
  <si>
    <t>282</t>
  </si>
  <si>
    <t>284</t>
  </si>
  <si>
    <t>296</t>
  </si>
  <si>
    <t>288</t>
  </si>
  <si>
    <t>274</t>
  </si>
  <si>
    <t>294</t>
  </si>
  <si>
    <t>266</t>
  </si>
  <si>
    <t>264</t>
  </si>
  <si>
    <t>276</t>
  </si>
  <si>
    <t>286</t>
  </si>
  <si>
    <t>270,290,292</t>
  </si>
  <si>
    <t>272,278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</si>
</sst>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"/>
  </numFmts>
  <fonts count="5">
    <font>
      <sz val="11"/>
      <name val="Carlito"/>
    </font>
    <font>
      <sz val="10"/>
      <color rgb="FF253242"/>
      <name val="Arial"/>
    </font>
    <font>
      <b/>
      <sz val="14"/>
      <color rgb="FF163957"/>
      <name val="Arial"/>
    </font>
    <font>
      <sz val="10"/>
      <color rgb="FF516378"/>
      <name val="Arial"/>
    </font>
    <font>
      <b/>
      <sz val="10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163957"/>
      </patternFill>
    </fill>
    <fill>
      <patternFill patternType="solid">
        <fgColor rgb="FFFBE8C8"/>
      </patternFill>
    </fill>
    <fill>
      <patternFill patternType="solid">
        <fgColor rgb="FFE7F0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8295A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4" fillId="2" borderId="0" xfId="0" applyFont="1" applyFill="1" applyAlignment="1">
      <alignment vertical="center"/>
    </xf>
    <xf numFmtId="2" fontId="1" fillId="0" borderId="0" xfId="0" applyNumberFormat="1" applyFont="1"/>
    <xf numFmtId="164" fontId="1" fillId="0" borderId="0" xfId="0" applyNumberFormat="1" applyFont="1"/>
    <xf numFmtId="3" fontId="1" fillId="0" borderId="0" xfId="0" applyNumberFormat="1" applyFont="1"/>
    <xf numFmtId="0" fontId="1" fillId="3" borderId="0" xfId="0" applyFont="1" applyFill="1"/>
    <xf numFmtId="0" fontId="1" fillId="4" borderId="0" xfId="0" applyFont="1" applyFill="1"/>
    <xf numFmtId="165" fontId="1" fillId="0" borderId="0" xfId="0" applyNumberFormat="1" applyFont="1"/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63957"/>
  </sheetPr>
  <dimension ref="A1:O55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B7" sqref="B7"/>
    </sheetView>
  </sheetViews>
  <sheetFormatPr defaultRowHeight="14.25"/>
  <cols>
    <col min="1" max="1" width="18" customWidth="1"/>
    <col min="2" max="2" width="23" customWidth="1"/>
    <col min="3" max="4" width="12" customWidth="1"/>
    <col min="5" max="11" width="14" customWidth="1"/>
    <col min="12" max="14" width="19" customWidth="1"/>
    <col min="15" max="15" width="29" customWidth="1"/>
  </cols>
  <sheetData>
    <row r="1" spans="1: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8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ht="29.1" customHeight="1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  <c r="K6" s="5" t="s">
        <v>14</v>
      </c>
      <c r="L6" s="5" t="s">
        <v>15</v>
      </c>
      <c r="M6" s="5" t="s">
        <v>16</v>
      </c>
      <c r="N6" s="5" t="s">
        <v>17</v>
      </c>
      <c r="O6" s="5" t="s">
        <v>18</v>
      </c>
    </row>
    <row r="7" spans="1:15">
      <c r="A7" s="1" t="s">
        <v>19</v>
      </c>
      <c r="B7" s="1" t="s">
        <v>20</v>
      </c>
      <c r="C7" s="1" t="s">
        <v>21</v>
      </c>
      <c r="D7" s="1" t="s">
        <v>22</v>
      </c>
      <c r="E7" s="6">
        <v>185.11</v>
      </c>
      <c r="F7" s="6">
        <v>181.6</v>
      </c>
      <c r="G7" s="6">
        <v>188.63</v>
      </c>
      <c r="H7" s="7">
        <v>0.1</v>
      </c>
      <c r="I7" s="6">
        <f t="shared" ref="I7:I38" si="0">E7*(1-H7)/2</f>
        <v>83.299500000000009</v>
      </c>
      <c r="J7" s="6">
        <f t="shared" ref="J7:J38" si="1">F7*(1-H7)/2</f>
        <v>81.72</v>
      </c>
      <c r="K7" s="6">
        <f t="shared" ref="K7:K38" si="2">G7*(1-H7)/2</f>
        <v>84.883499999999998</v>
      </c>
      <c r="L7" s="8">
        <v>48484</v>
      </c>
      <c r="M7" s="8">
        <v>45951</v>
      </c>
      <c r="N7" s="8">
        <v>51156</v>
      </c>
      <c r="O7" s="1" t="s">
        <v>23</v>
      </c>
    </row>
    <row r="8" spans="1:15">
      <c r="A8" s="1" t="s">
        <v>24</v>
      </c>
      <c r="B8" s="1" t="s">
        <v>20</v>
      </c>
      <c r="C8" s="1" t="s">
        <v>21</v>
      </c>
      <c r="D8" s="1" t="s">
        <v>22</v>
      </c>
      <c r="E8" s="6">
        <v>195.05</v>
      </c>
      <c r="F8" s="6">
        <v>191.54</v>
      </c>
      <c r="G8" s="6">
        <v>198.57</v>
      </c>
      <c r="H8" s="7">
        <v>0.1</v>
      </c>
      <c r="I8" s="6">
        <f t="shared" si="0"/>
        <v>87.772500000000008</v>
      </c>
      <c r="J8" s="6">
        <f t="shared" si="1"/>
        <v>86.192999999999998</v>
      </c>
      <c r="K8" s="6">
        <f t="shared" si="2"/>
        <v>89.356499999999997</v>
      </c>
      <c r="L8" s="8">
        <v>50921</v>
      </c>
      <c r="M8" s="8">
        <v>48261</v>
      </c>
      <c r="N8" s="8">
        <v>53728</v>
      </c>
      <c r="O8" s="1" t="s">
        <v>23</v>
      </c>
    </row>
    <row r="9" spans="1:15">
      <c r="A9" s="1" t="s">
        <v>25</v>
      </c>
      <c r="B9" s="1" t="s">
        <v>20</v>
      </c>
      <c r="C9" s="1" t="s">
        <v>21</v>
      </c>
      <c r="D9" s="1" t="s">
        <v>22</v>
      </c>
      <c r="E9" s="6">
        <v>195.05</v>
      </c>
      <c r="F9" s="6">
        <v>191.54</v>
      </c>
      <c r="G9" s="6">
        <v>198.57</v>
      </c>
      <c r="H9" s="7">
        <v>0.1</v>
      </c>
      <c r="I9" s="6">
        <f t="shared" si="0"/>
        <v>87.772500000000008</v>
      </c>
      <c r="J9" s="6">
        <f t="shared" si="1"/>
        <v>86.192999999999998</v>
      </c>
      <c r="K9" s="6">
        <f t="shared" si="2"/>
        <v>89.356499999999997</v>
      </c>
      <c r="L9" s="8">
        <v>54253</v>
      </c>
      <c r="M9" s="8">
        <v>51419</v>
      </c>
      <c r="N9" s="8">
        <v>57243</v>
      </c>
      <c r="O9" s="1" t="s">
        <v>23</v>
      </c>
    </row>
    <row r="10" spans="1:15">
      <c r="A10" s="1" t="s">
        <v>26</v>
      </c>
      <c r="B10" s="1" t="s">
        <v>20</v>
      </c>
      <c r="C10" s="1" t="s">
        <v>21</v>
      </c>
      <c r="D10" s="1" t="s">
        <v>22</v>
      </c>
      <c r="E10" s="6">
        <v>175.07</v>
      </c>
      <c r="F10" s="6">
        <v>171.56</v>
      </c>
      <c r="G10" s="6">
        <v>178.59</v>
      </c>
      <c r="H10" s="7">
        <v>0.1</v>
      </c>
      <c r="I10" s="6">
        <f t="shared" si="0"/>
        <v>78.781499999999994</v>
      </c>
      <c r="J10" s="6">
        <f t="shared" si="1"/>
        <v>77.201999999999998</v>
      </c>
      <c r="K10" s="6">
        <f t="shared" si="2"/>
        <v>80.365499999999997</v>
      </c>
      <c r="L10" s="8">
        <v>55453</v>
      </c>
      <c r="M10" s="8">
        <v>52556</v>
      </c>
      <c r="N10" s="8">
        <v>58509</v>
      </c>
      <c r="O10" s="1" t="s">
        <v>23</v>
      </c>
    </row>
    <row r="11" spans="1:15">
      <c r="A11" s="1" t="s">
        <v>27</v>
      </c>
      <c r="B11" s="1" t="s">
        <v>20</v>
      </c>
      <c r="C11" s="1" t="s">
        <v>21</v>
      </c>
      <c r="D11" s="1" t="s">
        <v>22</v>
      </c>
      <c r="E11" s="6">
        <v>175.07</v>
      </c>
      <c r="F11" s="6">
        <v>171.56</v>
      </c>
      <c r="G11" s="6">
        <v>178.59</v>
      </c>
      <c r="H11" s="7">
        <v>0.1</v>
      </c>
      <c r="I11" s="6">
        <f t="shared" si="0"/>
        <v>78.781499999999994</v>
      </c>
      <c r="J11" s="6">
        <f t="shared" si="1"/>
        <v>77.201999999999998</v>
      </c>
      <c r="K11" s="6">
        <f t="shared" si="2"/>
        <v>80.365499999999997</v>
      </c>
      <c r="L11" s="8">
        <v>67471</v>
      </c>
      <c r="M11" s="8">
        <v>63947</v>
      </c>
      <c r="N11" s="8">
        <v>71190</v>
      </c>
      <c r="O11" s="1" t="s">
        <v>23</v>
      </c>
    </row>
    <row r="12" spans="1:15">
      <c r="A12" s="1" t="s">
        <v>28</v>
      </c>
      <c r="B12" s="1" t="s">
        <v>20</v>
      </c>
      <c r="C12" s="1" t="s">
        <v>21</v>
      </c>
      <c r="D12" s="1" t="s">
        <v>22</v>
      </c>
      <c r="E12" s="6">
        <v>185.11</v>
      </c>
      <c r="F12" s="6">
        <v>181.6</v>
      </c>
      <c r="G12" s="6">
        <v>188.63</v>
      </c>
      <c r="H12" s="7">
        <v>0.1</v>
      </c>
      <c r="I12" s="6">
        <f t="shared" si="0"/>
        <v>83.299500000000009</v>
      </c>
      <c r="J12" s="6">
        <f t="shared" si="1"/>
        <v>81.72</v>
      </c>
      <c r="K12" s="6">
        <f t="shared" si="2"/>
        <v>84.883499999999998</v>
      </c>
      <c r="L12" s="8">
        <v>78817</v>
      </c>
      <c r="M12" s="8">
        <v>74700</v>
      </c>
      <c r="N12" s="8">
        <v>83161</v>
      </c>
      <c r="O12" s="1" t="s">
        <v>23</v>
      </c>
    </row>
    <row r="13" spans="1:15">
      <c r="A13" s="1" t="s">
        <v>29</v>
      </c>
      <c r="B13" s="1" t="s">
        <v>20</v>
      </c>
      <c r="C13" s="1" t="s">
        <v>21</v>
      </c>
      <c r="D13" s="1" t="s">
        <v>22</v>
      </c>
      <c r="E13" s="6">
        <v>155.15</v>
      </c>
      <c r="F13" s="6">
        <v>151.63</v>
      </c>
      <c r="G13" s="6">
        <v>158.66</v>
      </c>
      <c r="H13" s="7">
        <v>0.1</v>
      </c>
      <c r="I13" s="6">
        <f t="shared" si="0"/>
        <v>69.81750000000001</v>
      </c>
      <c r="J13" s="6">
        <f t="shared" si="1"/>
        <v>68.233500000000006</v>
      </c>
      <c r="K13" s="6">
        <f t="shared" si="2"/>
        <v>71.397000000000006</v>
      </c>
      <c r="L13" s="8">
        <v>116859</v>
      </c>
      <c r="M13" s="8">
        <v>110755</v>
      </c>
      <c r="N13" s="8">
        <v>123300</v>
      </c>
      <c r="O13" s="1" t="s">
        <v>23</v>
      </c>
    </row>
    <row r="14" spans="1:15">
      <c r="A14" s="1" t="s">
        <v>30</v>
      </c>
      <c r="B14" s="1" t="s">
        <v>20</v>
      </c>
      <c r="C14" s="1" t="s">
        <v>21</v>
      </c>
      <c r="D14" s="1" t="s">
        <v>22</v>
      </c>
      <c r="E14" s="6">
        <v>145.11000000000001</v>
      </c>
      <c r="F14" s="6">
        <v>141.59</v>
      </c>
      <c r="G14" s="6">
        <v>148.62</v>
      </c>
      <c r="H14" s="7">
        <v>0.1</v>
      </c>
      <c r="I14" s="6">
        <f t="shared" si="0"/>
        <v>65.299500000000009</v>
      </c>
      <c r="J14" s="6">
        <f t="shared" si="1"/>
        <v>63.715500000000006</v>
      </c>
      <c r="K14" s="6">
        <f t="shared" si="2"/>
        <v>66.879000000000005</v>
      </c>
      <c r="L14" s="8">
        <v>136509</v>
      </c>
      <c r="M14" s="8">
        <v>129378</v>
      </c>
      <c r="N14" s="8">
        <v>144034</v>
      </c>
      <c r="O14" s="1" t="s">
        <v>23</v>
      </c>
    </row>
    <row r="15" spans="1:15">
      <c r="A15" s="1" t="s">
        <v>31</v>
      </c>
      <c r="B15" s="1" t="s">
        <v>20</v>
      </c>
      <c r="C15" s="1" t="s">
        <v>21</v>
      </c>
      <c r="D15" s="1" t="s">
        <v>22</v>
      </c>
      <c r="E15" s="6">
        <v>125.18</v>
      </c>
      <c r="F15" s="6">
        <v>121.66</v>
      </c>
      <c r="G15" s="6">
        <v>128.69999999999999</v>
      </c>
      <c r="H15" s="7">
        <v>0.1</v>
      </c>
      <c r="I15" s="6">
        <f t="shared" si="0"/>
        <v>56.331000000000003</v>
      </c>
      <c r="J15" s="6">
        <f t="shared" si="1"/>
        <v>54.747</v>
      </c>
      <c r="K15" s="6">
        <f t="shared" si="2"/>
        <v>57.914999999999999</v>
      </c>
      <c r="L15" s="8">
        <v>231664</v>
      </c>
      <c r="M15" s="8">
        <v>219563</v>
      </c>
      <c r="N15" s="8">
        <v>244433</v>
      </c>
      <c r="O15" s="1" t="s">
        <v>23</v>
      </c>
    </row>
    <row r="16" spans="1:15">
      <c r="A16" s="1" t="s">
        <v>32</v>
      </c>
      <c r="B16" s="1" t="s">
        <v>20</v>
      </c>
      <c r="C16" s="1" t="s">
        <v>21</v>
      </c>
      <c r="D16" s="1" t="s">
        <v>22</v>
      </c>
      <c r="E16" s="6">
        <v>115.14</v>
      </c>
      <c r="F16" s="6">
        <v>111.62</v>
      </c>
      <c r="G16" s="6">
        <v>118.66</v>
      </c>
      <c r="H16" s="7">
        <v>0.1</v>
      </c>
      <c r="I16" s="6">
        <f t="shared" si="0"/>
        <v>51.813000000000002</v>
      </c>
      <c r="J16" s="6">
        <f t="shared" si="1"/>
        <v>50.229000000000006</v>
      </c>
      <c r="K16" s="6">
        <f t="shared" si="2"/>
        <v>53.396999999999998</v>
      </c>
      <c r="L16" s="8">
        <v>416350</v>
      </c>
      <c r="M16" s="8">
        <v>394601</v>
      </c>
      <c r="N16" s="8">
        <v>439298</v>
      </c>
      <c r="O16" s="1" t="s">
        <v>23</v>
      </c>
    </row>
    <row r="17" spans="1:15">
      <c r="A17" s="1" t="s">
        <v>33</v>
      </c>
      <c r="B17" s="1" t="s">
        <v>20</v>
      </c>
      <c r="C17" s="1" t="s">
        <v>21</v>
      </c>
      <c r="D17" s="1" t="s">
        <v>22</v>
      </c>
      <c r="E17" s="6">
        <v>105.1</v>
      </c>
      <c r="F17" s="6">
        <v>101.59</v>
      </c>
      <c r="G17" s="6">
        <v>108.62</v>
      </c>
      <c r="H17" s="7">
        <v>0.1</v>
      </c>
      <c r="I17" s="6">
        <f t="shared" si="0"/>
        <v>47.295000000000002</v>
      </c>
      <c r="J17" s="6">
        <f t="shared" si="1"/>
        <v>45.715500000000006</v>
      </c>
      <c r="K17" s="6">
        <f t="shared" si="2"/>
        <v>48.879000000000005</v>
      </c>
      <c r="L17" s="8">
        <v>511965</v>
      </c>
      <c r="M17" s="8">
        <v>485221</v>
      </c>
      <c r="N17" s="8">
        <v>540183</v>
      </c>
      <c r="O17" s="1" t="s">
        <v>23</v>
      </c>
    </row>
    <row r="18" spans="1:15">
      <c r="A18" s="1" t="s">
        <v>34</v>
      </c>
      <c r="B18" s="1" t="s">
        <v>20</v>
      </c>
      <c r="C18" s="1" t="s">
        <v>21</v>
      </c>
      <c r="D18" s="1" t="s">
        <v>22</v>
      </c>
      <c r="E18" s="6">
        <v>95.21</v>
      </c>
      <c r="F18" s="6">
        <v>91.7</v>
      </c>
      <c r="G18" s="6">
        <v>98.73</v>
      </c>
      <c r="H18" s="7">
        <v>0.1</v>
      </c>
      <c r="I18" s="6">
        <f t="shared" si="0"/>
        <v>42.844499999999996</v>
      </c>
      <c r="J18" s="6">
        <f t="shared" si="1"/>
        <v>41.265000000000001</v>
      </c>
      <c r="K18" s="6">
        <f t="shared" si="2"/>
        <v>44.4285</v>
      </c>
      <c r="L18" s="8">
        <v>622923</v>
      </c>
      <c r="M18" s="8">
        <v>590383</v>
      </c>
      <c r="N18" s="8">
        <v>657257</v>
      </c>
      <c r="O18" s="1" t="s">
        <v>23</v>
      </c>
    </row>
    <row r="19" spans="1:15">
      <c r="A19" s="1" t="s">
        <v>35</v>
      </c>
      <c r="B19" s="1" t="s">
        <v>20</v>
      </c>
      <c r="C19" s="1" t="s">
        <v>21</v>
      </c>
      <c r="D19" s="1" t="s">
        <v>22</v>
      </c>
      <c r="E19" s="6">
        <v>105.1</v>
      </c>
      <c r="F19" s="6">
        <v>101.59</v>
      </c>
      <c r="G19" s="6">
        <v>108.62</v>
      </c>
      <c r="H19" s="7">
        <v>0.1</v>
      </c>
      <c r="I19" s="6">
        <f t="shared" si="0"/>
        <v>47.295000000000002</v>
      </c>
      <c r="J19" s="6">
        <f t="shared" si="1"/>
        <v>45.715500000000006</v>
      </c>
      <c r="K19" s="6">
        <f t="shared" si="2"/>
        <v>48.879000000000005</v>
      </c>
      <c r="L19" s="8">
        <v>1301871</v>
      </c>
      <c r="M19" s="8">
        <v>1233863</v>
      </c>
      <c r="N19" s="8">
        <v>1373627</v>
      </c>
      <c r="O19" s="1" t="s">
        <v>23</v>
      </c>
    </row>
    <row r="20" spans="1:15">
      <c r="A20" s="1" t="s">
        <v>36</v>
      </c>
      <c r="B20" s="1" t="s">
        <v>20</v>
      </c>
      <c r="C20" s="1" t="s">
        <v>21</v>
      </c>
      <c r="D20" s="1" t="s">
        <v>22</v>
      </c>
      <c r="E20" s="6">
        <v>95.21</v>
      </c>
      <c r="F20" s="6">
        <v>91.7</v>
      </c>
      <c r="G20" s="6">
        <v>98.73</v>
      </c>
      <c r="H20" s="7">
        <v>0.1</v>
      </c>
      <c r="I20" s="6">
        <f t="shared" si="0"/>
        <v>42.844499999999996</v>
      </c>
      <c r="J20" s="6">
        <f t="shared" si="1"/>
        <v>41.265000000000001</v>
      </c>
      <c r="K20" s="6">
        <f t="shared" si="2"/>
        <v>44.4285</v>
      </c>
      <c r="L20" s="8">
        <v>1329666</v>
      </c>
      <c r="M20" s="8">
        <v>1260207</v>
      </c>
      <c r="N20" s="8">
        <v>1402955</v>
      </c>
      <c r="O20" s="1" t="s">
        <v>23</v>
      </c>
    </row>
    <row r="21" spans="1:15">
      <c r="A21" s="1" t="s">
        <v>37</v>
      </c>
      <c r="B21" s="1" t="s">
        <v>20</v>
      </c>
      <c r="C21" s="9" t="s">
        <v>38</v>
      </c>
      <c r="D21" s="1" t="s">
        <v>22</v>
      </c>
      <c r="E21" s="6">
        <v>105.1</v>
      </c>
      <c r="F21" s="6">
        <v>101.59</v>
      </c>
      <c r="G21" s="6">
        <v>108.62</v>
      </c>
      <c r="H21" s="7">
        <v>0.1</v>
      </c>
      <c r="I21" s="6">
        <f t="shared" si="0"/>
        <v>47.295000000000002</v>
      </c>
      <c r="J21" s="6">
        <f t="shared" si="1"/>
        <v>45.715500000000006</v>
      </c>
      <c r="K21" s="6">
        <f t="shared" si="2"/>
        <v>48.879000000000005</v>
      </c>
      <c r="L21" s="8">
        <v>1335699</v>
      </c>
      <c r="M21" s="8">
        <v>1265924</v>
      </c>
      <c r="N21" s="8">
        <v>1409320</v>
      </c>
      <c r="O21" s="1" t="s">
        <v>39</v>
      </c>
    </row>
    <row r="22" spans="1:15">
      <c r="A22" s="1" t="s">
        <v>40</v>
      </c>
      <c r="B22" s="1" t="s">
        <v>20</v>
      </c>
      <c r="C22" s="1" t="s">
        <v>21</v>
      </c>
      <c r="D22" s="10" t="s">
        <v>41</v>
      </c>
      <c r="E22" s="6">
        <v>95.21</v>
      </c>
      <c r="F22" s="6">
        <v>91.7</v>
      </c>
      <c r="G22" s="6">
        <v>98.73</v>
      </c>
      <c r="H22" s="7">
        <v>0.1</v>
      </c>
      <c r="I22" s="6">
        <f t="shared" si="0"/>
        <v>42.844499999999996</v>
      </c>
      <c r="J22" s="6">
        <f t="shared" si="1"/>
        <v>41.265000000000001</v>
      </c>
      <c r="K22" s="6">
        <f t="shared" si="2"/>
        <v>44.4285</v>
      </c>
      <c r="L22" s="8">
        <v>5000000</v>
      </c>
      <c r="M22" s="8">
        <v>5000000</v>
      </c>
      <c r="N22" s="8">
        <v>5000000</v>
      </c>
      <c r="O22" s="1" t="s">
        <v>23</v>
      </c>
    </row>
    <row r="23" spans="1:15">
      <c r="A23" s="1" t="s">
        <v>42</v>
      </c>
      <c r="B23" s="1" t="s">
        <v>20</v>
      </c>
      <c r="C23" s="1" t="s">
        <v>21</v>
      </c>
      <c r="D23" s="10" t="s">
        <v>41</v>
      </c>
      <c r="E23" s="6">
        <v>85.17</v>
      </c>
      <c r="F23" s="6">
        <v>81.66</v>
      </c>
      <c r="G23" s="6">
        <v>88.69</v>
      </c>
      <c r="H23" s="7">
        <v>0.1</v>
      </c>
      <c r="I23" s="6">
        <f t="shared" si="0"/>
        <v>38.326500000000003</v>
      </c>
      <c r="J23" s="6">
        <f t="shared" si="1"/>
        <v>36.747</v>
      </c>
      <c r="K23" s="6">
        <f t="shared" si="2"/>
        <v>39.910499999999999</v>
      </c>
      <c r="L23" s="8">
        <v>5000000</v>
      </c>
      <c r="M23" s="8">
        <v>5000000</v>
      </c>
      <c r="N23" s="8">
        <v>5000000</v>
      </c>
      <c r="O23" s="1" t="s">
        <v>23</v>
      </c>
    </row>
    <row r="24" spans="1:15">
      <c r="A24" s="1" t="s">
        <v>43</v>
      </c>
      <c r="B24" s="1" t="s">
        <v>44</v>
      </c>
      <c r="C24" s="1" t="s">
        <v>21</v>
      </c>
      <c r="D24" s="1" t="s">
        <v>22</v>
      </c>
      <c r="E24" s="6">
        <v>205.09</v>
      </c>
      <c r="F24" s="6">
        <v>201.57</v>
      </c>
      <c r="G24" s="6">
        <v>208.61</v>
      </c>
      <c r="H24" s="7">
        <v>0.1</v>
      </c>
      <c r="I24" s="6">
        <f t="shared" si="0"/>
        <v>92.290500000000009</v>
      </c>
      <c r="J24" s="6">
        <f t="shared" si="1"/>
        <v>90.706500000000005</v>
      </c>
      <c r="K24" s="6">
        <f t="shared" si="2"/>
        <v>93.874500000000012</v>
      </c>
      <c r="L24" s="8">
        <v>48484</v>
      </c>
      <c r="M24" s="8">
        <v>45951</v>
      </c>
      <c r="N24" s="8">
        <v>51156</v>
      </c>
      <c r="O24" s="1" t="s">
        <v>23</v>
      </c>
    </row>
    <row r="25" spans="1:15">
      <c r="A25" s="1" t="s">
        <v>45</v>
      </c>
      <c r="B25" s="1" t="s">
        <v>44</v>
      </c>
      <c r="C25" s="1" t="s">
        <v>21</v>
      </c>
      <c r="D25" s="1" t="s">
        <v>22</v>
      </c>
      <c r="E25" s="6">
        <v>205.09</v>
      </c>
      <c r="F25" s="6">
        <v>201.57</v>
      </c>
      <c r="G25" s="6">
        <v>208.61</v>
      </c>
      <c r="H25" s="7">
        <v>0.1</v>
      </c>
      <c r="I25" s="6">
        <f t="shared" si="0"/>
        <v>92.290500000000009</v>
      </c>
      <c r="J25" s="6">
        <f t="shared" si="1"/>
        <v>90.706500000000005</v>
      </c>
      <c r="K25" s="6">
        <f t="shared" si="2"/>
        <v>93.874500000000012</v>
      </c>
      <c r="L25" s="8">
        <v>63137</v>
      </c>
      <c r="M25" s="8">
        <v>59839</v>
      </c>
      <c r="N25" s="8">
        <v>66617</v>
      </c>
      <c r="O25" s="1" t="s">
        <v>23</v>
      </c>
    </row>
    <row r="26" spans="1:15">
      <c r="A26" s="1" t="s">
        <v>46</v>
      </c>
      <c r="B26" s="1" t="s">
        <v>44</v>
      </c>
      <c r="C26" s="1" t="s">
        <v>21</v>
      </c>
      <c r="D26" s="1" t="s">
        <v>22</v>
      </c>
      <c r="E26" s="6">
        <v>195.05</v>
      </c>
      <c r="F26" s="6">
        <v>191.54</v>
      </c>
      <c r="G26" s="6">
        <v>198.57</v>
      </c>
      <c r="H26" s="7">
        <v>0.1</v>
      </c>
      <c r="I26" s="6">
        <f t="shared" si="0"/>
        <v>87.772500000000008</v>
      </c>
      <c r="J26" s="6">
        <f t="shared" si="1"/>
        <v>86.192999999999998</v>
      </c>
      <c r="K26" s="6">
        <f t="shared" si="2"/>
        <v>89.356499999999997</v>
      </c>
      <c r="L26" s="8">
        <v>67015</v>
      </c>
      <c r="M26" s="8">
        <v>63514</v>
      </c>
      <c r="N26" s="8">
        <v>70708</v>
      </c>
      <c r="O26" s="1" t="s">
        <v>23</v>
      </c>
    </row>
    <row r="27" spans="1:15">
      <c r="A27" s="1" t="s">
        <v>47</v>
      </c>
      <c r="B27" s="1" t="s">
        <v>44</v>
      </c>
      <c r="C27" s="1" t="s">
        <v>21</v>
      </c>
      <c r="D27" s="1" t="s">
        <v>22</v>
      </c>
      <c r="E27" s="6">
        <v>195.05</v>
      </c>
      <c r="F27" s="6">
        <v>191.54</v>
      </c>
      <c r="G27" s="6">
        <v>198.57</v>
      </c>
      <c r="H27" s="7">
        <v>0.1</v>
      </c>
      <c r="I27" s="6">
        <f t="shared" si="0"/>
        <v>87.772500000000008</v>
      </c>
      <c r="J27" s="6">
        <f t="shared" si="1"/>
        <v>86.192999999999998</v>
      </c>
      <c r="K27" s="6">
        <f t="shared" si="2"/>
        <v>89.356499999999997</v>
      </c>
      <c r="L27" s="8">
        <v>70065</v>
      </c>
      <c r="M27" s="8">
        <v>66405</v>
      </c>
      <c r="N27" s="8">
        <v>73927</v>
      </c>
      <c r="O27" s="1" t="s">
        <v>23</v>
      </c>
    </row>
    <row r="28" spans="1:15">
      <c r="A28" s="1" t="s">
        <v>48</v>
      </c>
      <c r="B28" s="1" t="s">
        <v>44</v>
      </c>
      <c r="C28" s="9" t="s">
        <v>38</v>
      </c>
      <c r="D28" s="1" t="s">
        <v>22</v>
      </c>
      <c r="E28" s="6">
        <v>195.05</v>
      </c>
      <c r="F28" s="6">
        <v>191.54</v>
      </c>
      <c r="G28" s="6">
        <v>198.57</v>
      </c>
      <c r="H28" s="7">
        <v>0.1</v>
      </c>
      <c r="I28" s="6">
        <f t="shared" si="0"/>
        <v>87.772500000000008</v>
      </c>
      <c r="J28" s="6">
        <f t="shared" si="1"/>
        <v>86.192999999999998</v>
      </c>
      <c r="K28" s="6">
        <f t="shared" si="2"/>
        <v>89.356499999999997</v>
      </c>
      <c r="L28" s="8">
        <v>71292</v>
      </c>
      <c r="M28" s="8">
        <v>67568</v>
      </c>
      <c r="N28" s="8">
        <v>75221</v>
      </c>
      <c r="O28" s="1" t="s">
        <v>39</v>
      </c>
    </row>
    <row r="29" spans="1:15">
      <c r="A29" s="1" t="s">
        <v>49</v>
      </c>
      <c r="B29" s="1" t="s">
        <v>44</v>
      </c>
      <c r="C29" s="1" t="s">
        <v>21</v>
      </c>
      <c r="D29" s="1" t="s">
        <v>22</v>
      </c>
      <c r="E29" s="6">
        <v>185.11</v>
      </c>
      <c r="F29" s="6">
        <v>181.6</v>
      </c>
      <c r="G29" s="6">
        <v>188.63</v>
      </c>
      <c r="H29" s="7">
        <v>0.1</v>
      </c>
      <c r="I29" s="6">
        <f t="shared" si="0"/>
        <v>83.299500000000009</v>
      </c>
      <c r="J29" s="6">
        <f t="shared" si="1"/>
        <v>81.72</v>
      </c>
      <c r="K29" s="6">
        <f t="shared" si="2"/>
        <v>84.883499999999998</v>
      </c>
      <c r="L29" s="8">
        <v>94036</v>
      </c>
      <c r="M29" s="8">
        <v>89124</v>
      </c>
      <c r="N29" s="8">
        <v>99219</v>
      </c>
      <c r="O29" s="1" t="s">
        <v>23</v>
      </c>
    </row>
    <row r="30" spans="1:15">
      <c r="A30" s="1" t="s">
        <v>50</v>
      </c>
      <c r="B30" s="1" t="s">
        <v>44</v>
      </c>
      <c r="C30" s="1" t="s">
        <v>21</v>
      </c>
      <c r="D30" s="1" t="s">
        <v>22</v>
      </c>
      <c r="E30" s="6">
        <v>165.09</v>
      </c>
      <c r="F30" s="6">
        <v>161.57</v>
      </c>
      <c r="G30" s="6">
        <v>168.6</v>
      </c>
      <c r="H30" s="7">
        <v>0.1</v>
      </c>
      <c r="I30" s="6">
        <f t="shared" si="0"/>
        <v>74.290500000000009</v>
      </c>
      <c r="J30" s="6">
        <f t="shared" si="1"/>
        <v>72.706500000000005</v>
      </c>
      <c r="K30" s="6">
        <f t="shared" si="2"/>
        <v>75.87</v>
      </c>
      <c r="L30" s="8">
        <v>96261</v>
      </c>
      <c r="M30" s="8">
        <v>91233</v>
      </c>
      <c r="N30" s="8">
        <v>101567</v>
      </c>
      <c r="O30" s="1" t="s">
        <v>23</v>
      </c>
    </row>
    <row r="31" spans="1:15">
      <c r="A31" s="1" t="s">
        <v>51</v>
      </c>
      <c r="B31" s="1" t="s">
        <v>44</v>
      </c>
      <c r="C31" s="1" t="s">
        <v>21</v>
      </c>
      <c r="D31" s="1" t="s">
        <v>22</v>
      </c>
      <c r="E31" s="6">
        <v>185.11</v>
      </c>
      <c r="F31" s="6">
        <v>181.6</v>
      </c>
      <c r="G31" s="6">
        <v>188.63</v>
      </c>
      <c r="H31" s="7">
        <v>0.1</v>
      </c>
      <c r="I31" s="6">
        <f t="shared" si="0"/>
        <v>83.299500000000009</v>
      </c>
      <c r="J31" s="6">
        <f t="shared" si="1"/>
        <v>81.72</v>
      </c>
      <c r="K31" s="6">
        <f t="shared" si="2"/>
        <v>84.883499999999998</v>
      </c>
      <c r="L31" s="8">
        <v>114416</v>
      </c>
      <c r="M31" s="8">
        <v>108439</v>
      </c>
      <c r="N31" s="8">
        <v>120723</v>
      </c>
      <c r="O31" s="1" t="s">
        <v>23</v>
      </c>
    </row>
    <row r="32" spans="1:15">
      <c r="A32" s="1" t="s">
        <v>52</v>
      </c>
      <c r="B32" s="1" t="s">
        <v>44</v>
      </c>
      <c r="C32" s="1" t="s">
        <v>21</v>
      </c>
      <c r="D32" s="1" t="s">
        <v>22</v>
      </c>
      <c r="E32" s="6">
        <v>175.07</v>
      </c>
      <c r="F32" s="6">
        <v>171.56</v>
      </c>
      <c r="G32" s="6">
        <v>178.59</v>
      </c>
      <c r="H32" s="7">
        <v>0.1</v>
      </c>
      <c r="I32" s="6">
        <f t="shared" si="0"/>
        <v>78.781499999999994</v>
      </c>
      <c r="J32" s="6">
        <f t="shared" si="1"/>
        <v>77.201999999999998</v>
      </c>
      <c r="K32" s="6">
        <f t="shared" si="2"/>
        <v>80.365499999999997</v>
      </c>
      <c r="L32" s="8">
        <v>185998</v>
      </c>
      <c r="M32" s="8">
        <v>176281</v>
      </c>
      <c r="N32" s="8">
        <v>196249</v>
      </c>
      <c r="O32" s="1" t="s">
        <v>23</v>
      </c>
    </row>
    <row r="33" spans="1:15">
      <c r="A33" s="1" t="s">
        <v>53</v>
      </c>
      <c r="B33" s="1" t="s">
        <v>44</v>
      </c>
      <c r="C33" s="9" t="s">
        <v>38</v>
      </c>
      <c r="D33" s="1" t="s">
        <v>22</v>
      </c>
      <c r="E33" s="6">
        <v>175.07</v>
      </c>
      <c r="F33" s="6">
        <v>171.56</v>
      </c>
      <c r="G33" s="6">
        <v>178.59</v>
      </c>
      <c r="H33" s="7">
        <v>0.1</v>
      </c>
      <c r="I33" s="6">
        <f t="shared" si="0"/>
        <v>78.781499999999994</v>
      </c>
      <c r="J33" s="6">
        <f t="shared" si="1"/>
        <v>77.201999999999998</v>
      </c>
      <c r="K33" s="6">
        <f t="shared" si="2"/>
        <v>80.365499999999997</v>
      </c>
      <c r="L33" s="8">
        <v>191986</v>
      </c>
      <c r="M33" s="8">
        <v>181957</v>
      </c>
      <c r="N33" s="8">
        <v>202568</v>
      </c>
      <c r="O33" s="1" t="s">
        <v>39</v>
      </c>
    </row>
    <row r="34" spans="1:15">
      <c r="A34" s="1" t="s">
        <v>54</v>
      </c>
      <c r="B34" s="1" t="s">
        <v>44</v>
      </c>
      <c r="C34" s="1" t="s">
        <v>21</v>
      </c>
      <c r="D34" s="1" t="s">
        <v>22</v>
      </c>
      <c r="E34" s="6">
        <v>175.07</v>
      </c>
      <c r="F34" s="6">
        <v>171.56</v>
      </c>
      <c r="G34" s="6">
        <v>178.59</v>
      </c>
      <c r="H34" s="7">
        <v>0.1</v>
      </c>
      <c r="I34" s="6">
        <f t="shared" si="0"/>
        <v>78.781499999999994</v>
      </c>
      <c r="J34" s="6">
        <f t="shared" si="1"/>
        <v>77.201999999999998</v>
      </c>
      <c r="K34" s="6">
        <f t="shared" si="2"/>
        <v>80.365499999999997</v>
      </c>
      <c r="L34" s="8">
        <v>196975</v>
      </c>
      <c r="M34" s="8">
        <v>186685</v>
      </c>
      <c r="N34" s="8">
        <v>207831</v>
      </c>
      <c r="O34" s="1" t="s">
        <v>23</v>
      </c>
    </row>
    <row r="35" spans="1:15">
      <c r="A35" s="1" t="s">
        <v>55</v>
      </c>
      <c r="B35" s="1" t="s">
        <v>44</v>
      </c>
      <c r="C35" s="1" t="s">
        <v>21</v>
      </c>
      <c r="D35" s="1" t="s">
        <v>22</v>
      </c>
      <c r="E35" s="6">
        <v>175.07</v>
      </c>
      <c r="F35" s="6">
        <v>171.56</v>
      </c>
      <c r="G35" s="6">
        <v>178.59</v>
      </c>
      <c r="H35" s="7">
        <v>0.1</v>
      </c>
      <c r="I35" s="6">
        <f t="shared" si="0"/>
        <v>78.781499999999994</v>
      </c>
      <c r="J35" s="6">
        <f t="shared" si="1"/>
        <v>77.201999999999998</v>
      </c>
      <c r="K35" s="6">
        <f t="shared" si="2"/>
        <v>80.365499999999997</v>
      </c>
      <c r="L35" s="8">
        <v>617309</v>
      </c>
      <c r="M35" s="8">
        <v>585061</v>
      </c>
      <c r="N35" s="8">
        <v>651333</v>
      </c>
      <c r="O35" s="1" t="s">
        <v>23</v>
      </c>
    </row>
    <row r="36" spans="1:15">
      <c r="A36" s="1" t="s">
        <v>56</v>
      </c>
      <c r="B36" s="1" t="s">
        <v>44</v>
      </c>
      <c r="C36" s="1" t="s">
        <v>21</v>
      </c>
      <c r="D36" s="1" t="s">
        <v>22</v>
      </c>
      <c r="E36" s="6">
        <v>155.15</v>
      </c>
      <c r="F36" s="6">
        <v>151.63</v>
      </c>
      <c r="G36" s="6">
        <v>158.66</v>
      </c>
      <c r="H36" s="7">
        <v>0.1</v>
      </c>
      <c r="I36" s="6">
        <f t="shared" si="0"/>
        <v>69.81750000000001</v>
      </c>
      <c r="J36" s="6">
        <f t="shared" si="1"/>
        <v>68.233500000000006</v>
      </c>
      <c r="K36" s="6">
        <f t="shared" si="2"/>
        <v>71.397000000000006</v>
      </c>
      <c r="L36" s="8">
        <v>1390193</v>
      </c>
      <c r="M36" s="8">
        <v>1317572</v>
      </c>
      <c r="N36" s="8">
        <v>1466818</v>
      </c>
      <c r="O36" s="1" t="s">
        <v>23</v>
      </c>
    </row>
    <row r="37" spans="1:15">
      <c r="A37" s="1" t="s">
        <v>57</v>
      </c>
      <c r="B37" s="1" t="s">
        <v>44</v>
      </c>
      <c r="C37" s="1" t="s">
        <v>21</v>
      </c>
      <c r="D37" s="1" t="s">
        <v>22</v>
      </c>
      <c r="E37" s="6">
        <v>155.15</v>
      </c>
      <c r="F37" s="6">
        <v>151.63</v>
      </c>
      <c r="G37" s="6">
        <v>158.66</v>
      </c>
      <c r="H37" s="7">
        <v>0.1</v>
      </c>
      <c r="I37" s="6">
        <f t="shared" si="0"/>
        <v>69.81750000000001</v>
      </c>
      <c r="J37" s="6">
        <f t="shared" si="1"/>
        <v>68.233500000000006</v>
      </c>
      <c r="K37" s="6">
        <f t="shared" si="2"/>
        <v>71.397000000000006</v>
      </c>
      <c r="L37" s="8">
        <v>1504806</v>
      </c>
      <c r="M37" s="8">
        <v>1426197</v>
      </c>
      <c r="N37" s="8">
        <v>1587748</v>
      </c>
      <c r="O37" s="1" t="s">
        <v>23</v>
      </c>
    </row>
    <row r="38" spans="1:15">
      <c r="A38" s="1" t="s">
        <v>58</v>
      </c>
      <c r="B38" s="1" t="s">
        <v>44</v>
      </c>
      <c r="C38" s="1" t="s">
        <v>21</v>
      </c>
      <c r="D38" s="1" t="s">
        <v>22</v>
      </c>
      <c r="E38" s="6">
        <v>155.15</v>
      </c>
      <c r="F38" s="6">
        <v>151.63</v>
      </c>
      <c r="G38" s="6">
        <v>158.66</v>
      </c>
      <c r="H38" s="7">
        <v>0.1</v>
      </c>
      <c r="I38" s="6">
        <f t="shared" si="0"/>
        <v>69.81750000000001</v>
      </c>
      <c r="J38" s="6">
        <f t="shared" si="1"/>
        <v>68.233500000000006</v>
      </c>
      <c r="K38" s="6">
        <f t="shared" si="2"/>
        <v>71.397000000000006</v>
      </c>
      <c r="L38" s="8">
        <v>1631328</v>
      </c>
      <c r="M38" s="8">
        <v>1546110</v>
      </c>
      <c r="N38" s="8">
        <v>1721243</v>
      </c>
      <c r="O38" s="1" t="s">
        <v>23</v>
      </c>
    </row>
    <row r="39" spans="1:15">
      <c r="A39" s="1" t="s">
        <v>59</v>
      </c>
      <c r="B39" s="1" t="s">
        <v>44</v>
      </c>
      <c r="C39" s="1" t="s">
        <v>21</v>
      </c>
      <c r="D39" s="10" t="s">
        <v>41</v>
      </c>
      <c r="E39" s="6">
        <v>155.15</v>
      </c>
      <c r="F39" s="6">
        <v>151.63</v>
      </c>
      <c r="G39" s="6">
        <v>158.66</v>
      </c>
      <c r="H39" s="7">
        <v>0.1</v>
      </c>
      <c r="I39" s="6">
        <f t="shared" ref="I39:I70" si="3">E39*(1-H39)/2</f>
        <v>69.81750000000001</v>
      </c>
      <c r="J39" s="6">
        <f t="shared" ref="J39:J55" si="4">F39*(1-H39)/2</f>
        <v>68.233500000000006</v>
      </c>
      <c r="K39" s="6">
        <f t="shared" ref="K39:K55" si="5">G39*(1-H39)/2</f>
        <v>71.397000000000006</v>
      </c>
      <c r="L39" s="8">
        <v>5000000</v>
      </c>
      <c r="M39" s="8">
        <v>5000000</v>
      </c>
      <c r="N39" s="8">
        <v>5000000</v>
      </c>
      <c r="O39" s="1" t="s">
        <v>23</v>
      </c>
    </row>
    <row r="40" spans="1:15">
      <c r="A40" s="1" t="s">
        <v>60</v>
      </c>
      <c r="B40" s="1" t="s">
        <v>44</v>
      </c>
      <c r="C40" s="1" t="s">
        <v>21</v>
      </c>
      <c r="D40" s="10" t="s">
        <v>41</v>
      </c>
      <c r="E40" s="6">
        <v>145.11000000000001</v>
      </c>
      <c r="F40" s="6">
        <v>141.59</v>
      </c>
      <c r="G40" s="6">
        <v>148.62</v>
      </c>
      <c r="H40" s="7">
        <v>0.1</v>
      </c>
      <c r="I40" s="6">
        <f t="shared" si="3"/>
        <v>65.299500000000009</v>
      </c>
      <c r="J40" s="6">
        <f t="shared" si="4"/>
        <v>63.715500000000006</v>
      </c>
      <c r="K40" s="6">
        <f t="shared" si="5"/>
        <v>66.879000000000005</v>
      </c>
      <c r="L40" s="8">
        <v>5000000</v>
      </c>
      <c r="M40" s="8">
        <v>5000000</v>
      </c>
      <c r="N40" s="8">
        <v>5000000</v>
      </c>
      <c r="O40" s="1" t="s">
        <v>23</v>
      </c>
    </row>
    <row r="41" spans="1:15">
      <c r="A41" s="1" t="s">
        <v>61</v>
      </c>
      <c r="B41" s="1" t="s">
        <v>62</v>
      </c>
      <c r="C41" s="1" t="s">
        <v>21</v>
      </c>
      <c r="D41" s="1" t="s">
        <v>22</v>
      </c>
      <c r="E41" s="6">
        <v>245.1</v>
      </c>
      <c r="F41" s="6">
        <v>241.58</v>
      </c>
      <c r="G41" s="6">
        <v>248.61</v>
      </c>
      <c r="H41" s="7">
        <v>0.1</v>
      </c>
      <c r="I41" s="6">
        <f t="shared" si="3"/>
        <v>110.295</v>
      </c>
      <c r="J41" s="6">
        <f t="shared" si="4"/>
        <v>108.71100000000001</v>
      </c>
      <c r="K41" s="6">
        <f t="shared" si="5"/>
        <v>111.87450000000001</v>
      </c>
      <c r="L41" s="8">
        <v>47866</v>
      </c>
      <c r="M41" s="8">
        <v>45366</v>
      </c>
      <c r="N41" s="8">
        <v>50505</v>
      </c>
      <c r="O41" s="1" t="s">
        <v>23</v>
      </c>
    </row>
    <row r="42" spans="1:15">
      <c r="A42" s="1" t="s">
        <v>63</v>
      </c>
      <c r="B42" s="1" t="s">
        <v>62</v>
      </c>
      <c r="C42" s="1" t="s">
        <v>21</v>
      </c>
      <c r="D42" s="1" t="s">
        <v>22</v>
      </c>
      <c r="E42" s="6">
        <v>235.06</v>
      </c>
      <c r="F42" s="6">
        <v>231.54</v>
      </c>
      <c r="G42" s="6">
        <v>238.57</v>
      </c>
      <c r="H42" s="7">
        <v>0.1</v>
      </c>
      <c r="I42" s="6">
        <f t="shared" si="3"/>
        <v>105.777</v>
      </c>
      <c r="J42" s="6">
        <f t="shared" si="4"/>
        <v>104.193</v>
      </c>
      <c r="K42" s="6">
        <f t="shared" si="5"/>
        <v>107.3565</v>
      </c>
      <c r="L42" s="8">
        <v>59215</v>
      </c>
      <c r="M42" s="8">
        <v>56122</v>
      </c>
      <c r="N42" s="8">
        <v>62479</v>
      </c>
      <c r="O42" s="1" t="s">
        <v>23</v>
      </c>
    </row>
    <row r="43" spans="1:15">
      <c r="A43" s="1" t="s">
        <v>64</v>
      </c>
      <c r="B43" s="1" t="s">
        <v>62</v>
      </c>
      <c r="C43" s="1" t="s">
        <v>21</v>
      </c>
      <c r="D43" s="1" t="s">
        <v>22</v>
      </c>
      <c r="E43" s="6">
        <v>235.06</v>
      </c>
      <c r="F43" s="6">
        <v>231.54</v>
      </c>
      <c r="G43" s="6">
        <v>238.57</v>
      </c>
      <c r="H43" s="7">
        <v>0.1</v>
      </c>
      <c r="I43" s="6">
        <f t="shared" si="3"/>
        <v>105.777</v>
      </c>
      <c r="J43" s="6">
        <f t="shared" si="4"/>
        <v>104.193</v>
      </c>
      <c r="K43" s="6">
        <f t="shared" si="5"/>
        <v>107.3565</v>
      </c>
      <c r="L43" s="8">
        <v>68756</v>
      </c>
      <c r="M43" s="8">
        <v>65164</v>
      </c>
      <c r="N43" s="8">
        <v>72546</v>
      </c>
      <c r="O43" s="1" t="s">
        <v>23</v>
      </c>
    </row>
    <row r="44" spans="1:15">
      <c r="A44" s="1" t="s">
        <v>65</v>
      </c>
      <c r="B44" s="1" t="s">
        <v>62</v>
      </c>
      <c r="C44" s="1" t="s">
        <v>21</v>
      </c>
      <c r="D44" s="1" t="s">
        <v>22</v>
      </c>
      <c r="E44" s="6">
        <v>245.1</v>
      </c>
      <c r="F44" s="6">
        <v>241.58</v>
      </c>
      <c r="G44" s="6">
        <v>248.61</v>
      </c>
      <c r="H44" s="7">
        <v>0.1</v>
      </c>
      <c r="I44" s="6">
        <f t="shared" si="3"/>
        <v>110.295</v>
      </c>
      <c r="J44" s="6">
        <f t="shared" si="4"/>
        <v>108.71100000000001</v>
      </c>
      <c r="K44" s="6">
        <f t="shared" si="5"/>
        <v>111.87450000000001</v>
      </c>
      <c r="L44" s="8">
        <v>72649</v>
      </c>
      <c r="M44" s="8">
        <v>68854</v>
      </c>
      <c r="N44" s="8">
        <v>76653</v>
      </c>
      <c r="O44" s="1" t="s">
        <v>23</v>
      </c>
    </row>
    <row r="45" spans="1:15">
      <c r="A45" s="1" t="s">
        <v>66</v>
      </c>
      <c r="B45" s="1" t="s">
        <v>62</v>
      </c>
      <c r="C45" s="1" t="s">
        <v>21</v>
      </c>
      <c r="D45" s="1" t="s">
        <v>22</v>
      </c>
      <c r="E45" s="6">
        <v>225.02</v>
      </c>
      <c r="F45" s="6">
        <v>221.5</v>
      </c>
      <c r="G45" s="6">
        <v>228.54</v>
      </c>
      <c r="H45" s="7">
        <v>0.1</v>
      </c>
      <c r="I45" s="6">
        <f t="shared" si="3"/>
        <v>101.259</v>
      </c>
      <c r="J45" s="6">
        <f t="shared" si="4"/>
        <v>99.674999999999997</v>
      </c>
      <c r="K45" s="6">
        <f t="shared" si="5"/>
        <v>102.843</v>
      </c>
      <c r="L45" s="8">
        <v>83091</v>
      </c>
      <c r="M45" s="8">
        <v>78751</v>
      </c>
      <c r="N45" s="8">
        <v>87671</v>
      </c>
      <c r="O45" s="1" t="s">
        <v>23</v>
      </c>
    </row>
    <row r="46" spans="1:15">
      <c r="A46" s="1" t="s">
        <v>67</v>
      </c>
      <c r="B46" s="1" t="s">
        <v>62</v>
      </c>
      <c r="C46" s="1" t="s">
        <v>21</v>
      </c>
      <c r="D46" s="1" t="s">
        <v>22</v>
      </c>
      <c r="E46" s="6">
        <v>225.02</v>
      </c>
      <c r="F46" s="6">
        <v>221.5</v>
      </c>
      <c r="G46" s="6">
        <v>228.54</v>
      </c>
      <c r="H46" s="7">
        <v>0.1</v>
      </c>
      <c r="I46" s="6">
        <f t="shared" si="3"/>
        <v>101.259</v>
      </c>
      <c r="J46" s="6">
        <f t="shared" si="4"/>
        <v>99.674999999999997</v>
      </c>
      <c r="K46" s="6">
        <f t="shared" si="5"/>
        <v>102.843</v>
      </c>
      <c r="L46" s="8">
        <v>98539</v>
      </c>
      <c r="M46" s="8">
        <v>93392</v>
      </c>
      <c r="N46" s="8">
        <v>103971</v>
      </c>
      <c r="O46" s="1" t="s">
        <v>23</v>
      </c>
    </row>
    <row r="47" spans="1:15">
      <c r="A47" s="1" t="s">
        <v>68</v>
      </c>
      <c r="B47" s="1" t="s">
        <v>62</v>
      </c>
      <c r="C47" s="1" t="s">
        <v>21</v>
      </c>
      <c r="D47" s="1" t="s">
        <v>22</v>
      </c>
      <c r="E47" s="6">
        <v>215.13</v>
      </c>
      <c r="F47" s="6">
        <v>211.61</v>
      </c>
      <c r="G47" s="6">
        <v>218.65</v>
      </c>
      <c r="H47" s="7">
        <v>0.1</v>
      </c>
      <c r="I47" s="6">
        <f t="shared" si="3"/>
        <v>96.808499999999995</v>
      </c>
      <c r="J47" s="6">
        <f t="shared" si="4"/>
        <v>95.224500000000006</v>
      </c>
      <c r="K47" s="6">
        <f t="shared" si="5"/>
        <v>98.392499999999998</v>
      </c>
      <c r="L47" s="8">
        <v>207814</v>
      </c>
      <c r="M47" s="8">
        <v>196958</v>
      </c>
      <c r="N47" s="8">
        <v>219268</v>
      </c>
      <c r="O47" s="1" t="s">
        <v>23</v>
      </c>
    </row>
    <row r="48" spans="1:15">
      <c r="A48" s="1" t="s">
        <v>69</v>
      </c>
      <c r="B48" s="1" t="s">
        <v>62</v>
      </c>
      <c r="C48" s="1" t="s">
        <v>21</v>
      </c>
      <c r="D48" s="1" t="s">
        <v>22</v>
      </c>
      <c r="E48" s="6">
        <v>205.09</v>
      </c>
      <c r="F48" s="6">
        <v>201.57</v>
      </c>
      <c r="G48" s="6">
        <v>208.61</v>
      </c>
      <c r="H48" s="7">
        <v>0.1</v>
      </c>
      <c r="I48" s="6">
        <f t="shared" si="3"/>
        <v>92.290500000000009</v>
      </c>
      <c r="J48" s="6">
        <f t="shared" si="4"/>
        <v>90.706500000000005</v>
      </c>
      <c r="K48" s="6">
        <f t="shared" si="5"/>
        <v>93.874500000000012</v>
      </c>
      <c r="L48" s="8">
        <v>210497</v>
      </c>
      <c r="M48" s="8">
        <v>199501</v>
      </c>
      <c r="N48" s="8">
        <v>222099</v>
      </c>
      <c r="O48" s="1" t="s">
        <v>23</v>
      </c>
    </row>
    <row r="49" spans="1:15">
      <c r="A49" s="1" t="s">
        <v>70</v>
      </c>
      <c r="B49" s="1" t="s">
        <v>62</v>
      </c>
      <c r="C49" s="1" t="s">
        <v>21</v>
      </c>
      <c r="D49" s="1" t="s">
        <v>22</v>
      </c>
      <c r="E49" s="6">
        <v>205.09</v>
      </c>
      <c r="F49" s="6">
        <v>201.57</v>
      </c>
      <c r="G49" s="6">
        <v>208.61</v>
      </c>
      <c r="H49" s="7">
        <v>0.1</v>
      </c>
      <c r="I49" s="6">
        <f t="shared" si="3"/>
        <v>92.290500000000009</v>
      </c>
      <c r="J49" s="6">
        <f t="shared" si="4"/>
        <v>90.706500000000005</v>
      </c>
      <c r="K49" s="6">
        <f t="shared" si="5"/>
        <v>93.874500000000012</v>
      </c>
      <c r="L49" s="8">
        <v>247381</v>
      </c>
      <c r="M49" s="8">
        <v>234458</v>
      </c>
      <c r="N49" s="8">
        <v>261016</v>
      </c>
      <c r="O49" s="1" t="s">
        <v>23</v>
      </c>
    </row>
    <row r="50" spans="1:15">
      <c r="A50" s="1" t="s">
        <v>71</v>
      </c>
      <c r="B50" s="1" t="s">
        <v>62</v>
      </c>
      <c r="C50" s="1" t="s">
        <v>21</v>
      </c>
      <c r="D50" s="1" t="s">
        <v>22</v>
      </c>
      <c r="E50" s="6">
        <v>205.09</v>
      </c>
      <c r="F50" s="6">
        <v>201.57</v>
      </c>
      <c r="G50" s="6">
        <v>208.61</v>
      </c>
      <c r="H50" s="7">
        <v>0.1</v>
      </c>
      <c r="I50" s="6">
        <f t="shared" si="3"/>
        <v>92.290500000000009</v>
      </c>
      <c r="J50" s="6">
        <f t="shared" si="4"/>
        <v>90.706500000000005</v>
      </c>
      <c r="K50" s="6">
        <f t="shared" si="5"/>
        <v>93.874500000000012</v>
      </c>
      <c r="L50" s="8">
        <v>297833</v>
      </c>
      <c r="M50" s="8">
        <v>282275</v>
      </c>
      <c r="N50" s="8">
        <v>314249</v>
      </c>
      <c r="O50" s="1" t="s">
        <v>23</v>
      </c>
    </row>
    <row r="51" spans="1:15">
      <c r="A51" s="1" t="s">
        <v>72</v>
      </c>
      <c r="B51" s="1" t="s">
        <v>62</v>
      </c>
      <c r="C51" s="1" t="s">
        <v>21</v>
      </c>
      <c r="D51" s="1" t="s">
        <v>22</v>
      </c>
      <c r="E51" s="6">
        <v>215.13</v>
      </c>
      <c r="F51" s="6">
        <v>211.61</v>
      </c>
      <c r="G51" s="6">
        <v>218.65</v>
      </c>
      <c r="H51" s="7">
        <v>0.1</v>
      </c>
      <c r="I51" s="6">
        <f t="shared" si="3"/>
        <v>96.808499999999995</v>
      </c>
      <c r="J51" s="6">
        <f t="shared" si="4"/>
        <v>95.224500000000006</v>
      </c>
      <c r="K51" s="6">
        <f t="shared" si="5"/>
        <v>98.392499999999998</v>
      </c>
      <c r="L51" s="8">
        <v>350286</v>
      </c>
      <c r="M51" s="8">
        <v>331987</v>
      </c>
      <c r="N51" s="8">
        <v>369593</v>
      </c>
      <c r="O51" s="1" t="s">
        <v>23</v>
      </c>
    </row>
    <row r="52" spans="1:15">
      <c r="A52" s="1" t="s">
        <v>73</v>
      </c>
      <c r="B52" s="1" t="s">
        <v>62</v>
      </c>
      <c r="C52" s="1" t="s">
        <v>21</v>
      </c>
      <c r="D52" s="1" t="s">
        <v>22</v>
      </c>
      <c r="E52" s="6">
        <v>185.11</v>
      </c>
      <c r="F52" s="6">
        <v>181.6</v>
      </c>
      <c r="G52" s="6">
        <v>188.63</v>
      </c>
      <c r="H52" s="7">
        <v>0.1</v>
      </c>
      <c r="I52" s="6">
        <f t="shared" si="3"/>
        <v>83.299500000000009</v>
      </c>
      <c r="J52" s="6">
        <f t="shared" si="4"/>
        <v>81.72</v>
      </c>
      <c r="K52" s="6">
        <f t="shared" si="5"/>
        <v>84.883499999999998</v>
      </c>
      <c r="L52" s="8">
        <v>594007</v>
      </c>
      <c r="M52" s="8">
        <v>562977</v>
      </c>
      <c r="N52" s="8">
        <v>626747</v>
      </c>
      <c r="O52" s="1" t="s">
        <v>23</v>
      </c>
    </row>
    <row r="53" spans="1:15">
      <c r="A53" s="1" t="s">
        <v>74</v>
      </c>
      <c r="B53" s="1" t="s">
        <v>62</v>
      </c>
      <c r="C53" s="1" t="s">
        <v>21</v>
      </c>
      <c r="D53" s="1" t="s">
        <v>22</v>
      </c>
      <c r="E53" s="6">
        <v>195.05</v>
      </c>
      <c r="F53" s="6">
        <v>191.54</v>
      </c>
      <c r="G53" s="6">
        <v>198.57</v>
      </c>
      <c r="H53" s="7">
        <v>0.1</v>
      </c>
      <c r="I53" s="6">
        <f t="shared" si="3"/>
        <v>87.772500000000008</v>
      </c>
      <c r="J53" s="6">
        <f t="shared" si="4"/>
        <v>86.192999999999998</v>
      </c>
      <c r="K53" s="6">
        <f t="shared" si="5"/>
        <v>89.356499999999997</v>
      </c>
      <c r="L53" s="8">
        <v>939046</v>
      </c>
      <c r="M53" s="8">
        <v>889992</v>
      </c>
      <c r="N53" s="8">
        <v>990804</v>
      </c>
      <c r="O53" s="1" t="s">
        <v>23</v>
      </c>
    </row>
    <row r="54" spans="1:15">
      <c r="A54" s="1" t="s">
        <v>75</v>
      </c>
      <c r="B54" s="1" t="s">
        <v>62</v>
      </c>
      <c r="C54" s="1" t="s">
        <v>21</v>
      </c>
      <c r="D54" s="10" t="s">
        <v>41</v>
      </c>
      <c r="E54" s="6">
        <v>195.05</v>
      </c>
      <c r="F54" s="6">
        <v>191.54</v>
      </c>
      <c r="G54" s="6">
        <v>198.57</v>
      </c>
      <c r="H54" s="7">
        <v>0.1</v>
      </c>
      <c r="I54" s="6">
        <f t="shared" si="3"/>
        <v>87.772500000000008</v>
      </c>
      <c r="J54" s="6">
        <f t="shared" si="4"/>
        <v>86.192999999999998</v>
      </c>
      <c r="K54" s="6">
        <f t="shared" si="5"/>
        <v>89.356499999999997</v>
      </c>
      <c r="L54" s="8">
        <v>5000000</v>
      </c>
      <c r="M54" s="8">
        <v>5000000</v>
      </c>
      <c r="N54" s="8">
        <v>5000000</v>
      </c>
      <c r="O54" s="1" t="s">
        <v>23</v>
      </c>
    </row>
    <row r="55" spans="1:15">
      <c r="A55" s="1" t="s">
        <v>76</v>
      </c>
      <c r="B55" s="1" t="s">
        <v>62</v>
      </c>
      <c r="C55" s="1" t="s">
        <v>21</v>
      </c>
      <c r="D55" s="10" t="s">
        <v>41</v>
      </c>
      <c r="E55" s="6">
        <v>185.11</v>
      </c>
      <c r="F55" s="6">
        <v>181.6</v>
      </c>
      <c r="G55" s="6">
        <v>188.63</v>
      </c>
      <c r="H55" s="7">
        <v>0.1</v>
      </c>
      <c r="I55" s="6">
        <f t="shared" si="3"/>
        <v>83.299500000000009</v>
      </c>
      <c r="J55" s="6">
        <f t="shared" si="4"/>
        <v>81.72</v>
      </c>
      <c r="K55" s="6">
        <f t="shared" si="5"/>
        <v>84.883499999999998</v>
      </c>
      <c r="L55" s="8">
        <v>5000000</v>
      </c>
      <c r="M55" s="8">
        <v>5000000</v>
      </c>
      <c r="N55" s="8">
        <v>5000000</v>
      </c>
      <c r="O55" s="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D9AA6"/>
  </sheetPr>
  <dimension ref="A1:K55"/>
  <sheetViews>
    <sheetView showGridLines="0" tabSelected="1" workbookViewId="0">
      <pane xSplit="1" ySplit="6" topLeftCell="B7" activePane="bottomRight" state="frozen"/>
      <selection pane="topRight"/>
      <selection pane="bottomLeft"/>
      <selection pane="bottomRight" activeCell="B7" sqref="B7"/>
    </sheetView>
  </sheetViews>
  <sheetFormatPr defaultRowHeight="14.25"/>
  <cols>
    <col min="1" max="1" width="19" customWidth="1"/>
    <col min="2" max="4" width="12" customWidth="1"/>
    <col min="5" max="5" width="19" customWidth="1"/>
    <col min="6" max="10" width="13" customWidth="1"/>
    <col min="11" max="11" width="82" customWidth="1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8">
      <c r="A2" s="2" t="s">
        <v>77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>
      <c r="A3" s="4" t="s">
        <v>78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>
      <c r="A4" s="4" t="s">
        <v>79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>
      <c r="A5" s="4" t="s">
        <v>80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 ht="29.1" customHeight="1">
      <c r="A6" s="5" t="s">
        <v>4</v>
      </c>
      <c r="B6" s="5" t="s">
        <v>81</v>
      </c>
      <c r="C6" s="5" t="s">
        <v>82</v>
      </c>
      <c r="D6" s="5" t="s">
        <v>83</v>
      </c>
      <c r="E6" s="5" t="s">
        <v>84</v>
      </c>
      <c r="F6" s="5" t="s">
        <v>85</v>
      </c>
      <c r="G6" s="5" t="s">
        <v>86</v>
      </c>
      <c r="H6" s="5" t="s">
        <v>87</v>
      </c>
      <c r="I6" s="5" t="s">
        <v>88</v>
      </c>
      <c r="J6" s="5" t="s">
        <v>89</v>
      </c>
      <c r="K6" s="5" t="s">
        <v>90</v>
      </c>
    </row>
    <row r="7" spans="1:11">
      <c r="A7" s="1" t="s">
        <v>19</v>
      </c>
      <c r="B7" s="11">
        <v>243.49340000000001</v>
      </c>
      <c r="C7" s="11">
        <v>610.32820000000004</v>
      </c>
      <c r="D7" s="1">
        <v>1</v>
      </c>
      <c r="E7" s="1" t="s">
        <v>91</v>
      </c>
      <c r="F7" s="1">
        <v>567</v>
      </c>
      <c r="G7" s="1">
        <v>353</v>
      </c>
      <c r="H7" s="12">
        <v>0.96530000000000005</v>
      </c>
      <c r="I7" s="12">
        <v>1.4390000000000001</v>
      </c>
      <c r="J7" s="1" t="s">
        <v>92</v>
      </c>
      <c r="K7" s="1" t="s">
        <v>93</v>
      </c>
    </row>
    <row r="8" spans="1:11">
      <c r="A8" s="1" t="s">
        <v>24</v>
      </c>
      <c r="B8" s="11">
        <v>245.2484</v>
      </c>
      <c r="C8" s="11">
        <v>604.90120000000002</v>
      </c>
      <c r="D8" s="1">
        <v>1</v>
      </c>
      <c r="E8" s="1" t="s">
        <v>94</v>
      </c>
      <c r="F8" s="1">
        <v>576</v>
      </c>
      <c r="G8" s="1">
        <v>326</v>
      </c>
      <c r="H8" s="12">
        <v>0.94550000000000001</v>
      </c>
      <c r="I8" s="12">
        <v>1.5089999999999999</v>
      </c>
      <c r="J8" s="1" t="s">
        <v>92</v>
      </c>
      <c r="K8" s="1" t="s">
        <v>93</v>
      </c>
    </row>
    <row r="9" spans="1:11">
      <c r="A9" s="1" t="s">
        <v>25</v>
      </c>
      <c r="B9" s="11">
        <v>247.5164</v>
      </c>
      <c r="C9" s="11">
        <v>604.90120000000002</v>
      </c>
      <c r="D9" s="1">
        <v>1</v>
      </c>
      <c r="E9" s="1" t="s">
        <v>95</v>
      </c>
      <c r="F9" s="1">
        <v>587</v>
      </c>
      <c r="G9" s="1">
        <v>326</v>
      </c>
      <c r="H9" s="12">
        <v>0.8861</v>
      </c>
      <c r="I9" s="12">
        <v>1.599</v>
      </c>
      <c r="J9" s="1" t="s">
        <v>92</v>
      </c>
      <c r="K9" s="1" t="s">
        <v>93</v>
      </c>
    </row>
    <row r="10" spans="1:11">
      <c r="A10" s="1" t="s">
        <v>26</v>
      </c>
      <c r="B10" s="11">
        <v>248.29939999999999</v>
      </c>
      <c r="C10" s="11">
        <v>615.80930000000001</v>
      </c>
      <c r="D10" s="1">
        <v>1</v>
      </c>
      <c r="E10" s="1" t="s">
        <v>96</v>
      </c>
      <c r="F10" s="1">
        <v>591</v>
      </c>
      <c r="G10" s="1">
        <v>380</v>
      </c>
      <c r="H10" s="12">
        <v>0.98019999999999996</v>
      </c>
      <c r="I10" s="12">
        <v>1.0740000000000001</v>
      </c>
      <c r="J10" s="1" t="s">
        <v>92</v>
      </c>
      <c r="K10" s="1" t="s">
        <v>93</v>
      </c>
    </row>
    <row r="11" spans="1:11">
      <c r="A11" s="1" t="s">
        <v>27</v>
      </c>
      <c r="B11" s="11">
        <v>255.3194</v>
      </c>
      <c r="C11" s="11">
        <v>615.80930000000001</v>
      </c>
      <c r="D11" s="1">
        <v>1</v>
      </c>
      <c r="E11" s="1" t="s">
        <v>97</v>
      </c>
      <c r="F11" s="1">
        <v>626</v>
      </c>
      <c r="G11" s="1">
        <v>380</v>
      </c>
      <c r="H11" s="12">
        <v>0.91090000000000004</v>
      </c>
      <c r="I11" s="12">
        <v>1.1240000000000001</v>
      </c>
      <c r="J11" s="1" t="s">
        <v>92</v>
      </c>
      <c r="K11" s="1" t="s">
        <v>93</v>
      </c>
    </row>
    <row r="12" spans="1:11">
      <c r="A12" s="1" t="s">
        <v>28</v>
      </c>
      <c r="B12" s="11">
        <v>260.88139999999999</v>
      </c>
      <c r="C12" s="11">
        <v>610.32820000000004</v>
      </c>
      <c r="D12" s="1">
        <v>1</v>
      </c>
      <c r="E12" s="1" t="s">
        <v>98</v>
      </c>
      <c r="F12" s="1">
        <v>654</v>
      </c>
      <c r="G12" s="1">
        <v>353</v>
      </c>
      <c r="H12" s="12">
        <v>0.96530000000000005</v>
      </c>
      <c r="I12" s="12">
        <v>1.42</v>
      </c>
      <c r="J12" s="1" t="s">
        <v>92</v>
      </c>
      <c r="K12" s="1" t="s">
        <v>93</v>
      </c>
    </row>
    <row r="13" spans="1:11">
      <c r="A13" s="1" t="s">
        <v>29</v>
      </c>
      <c r="B13" s="11">
        <v>274.97539999999998</v>
      </c>
      <c r="C13" s="11">
        <v>626.6902</v>
      </c>
      <c r="D13" s="1">
        <v>1</v>
      </c>
      <c r="E13" s="1" t="s">
        <v>99</v>
      </c>
      <c r="F13" s="1">
        <v>725</v>
      </c>
      <c r="G13" s="1">
        <v>434</v>
      </c>
      <c r="H13" s="12">
        <v>0.97519999999999996</v>
      </c>
      <c r="I13" s="12">
        <v>0.56299999999999994</v>
      </c>
      <c r="J13" s="1" t="s">
        <v>92</v>
      </c>
      <c r="K13" s="1" t="s">
        <v>93</v>
      </c>
    </row>
    <row r="14" spans="1:11">
      <c r="A14" s="1" t="s">
        <v>30</v>
      </c>
      <c r="B14" s="11">
        <v>280.53739999999999</v>
      </c>
      <c r="C14" s="11">
        <v>632.17129999999997</v>
      </c>
      <c r="D14" s="1">
        <v>1</v>
      </c>
      <c r="E14" s="1" t="s">
        <v>100</v>
      </c>
      <c r="F14" s="1">
        <v>753</v>
      </c>
      <c r="G14" s="1">
        <v>462</v>
      </c>
      <c r="H14" s="12">
        <v>0.92079999999999995</v>
      </c>
      <c r="I14" s="12">
        <v>1.181</v>
      </c>
      <c r="J14" s="1" t="s">
        <v>92</v>
      </c>
      <c r="K14" s="1" t="s">
        <v>93</v>
      </c>
    </row>
    <row r="15" spans="1:11">
      <c r="A15" s="1" t="s">
        <v>31</v>
      </c>
      <c r="B15" s="11">
        <v>299.46440000000001</v>
      </c>
      <c r="C15" s="11">
        <v>643.05219999999997</v>
      </c>
      <c r="D15" s="1">
        <v>1</v>
      </c>
      <c r="E15" s="1" t="s">
        <v>101</v>
      </c>
      <c r="F15" s="1">
        <v>847</v>
      </c>
      <c r="G15" s="1">
        <v>516</v>
      </c>
      <c r="H15" s="12">
        <v>0.96530000000000005</v>
      </c>
      <c r="I15" s="12">
        <v>0.80600000000000005</v>
      </c>
      <c r="J15" s="1" t="s">
        <v>92</v>
      </c>
      <c r="K15" s="1" t="s">
        <v>93</v>
      </c>
    </row>
    <row r="16" spans="1:11">
      <c r="A16" s="1" t="s">
        <v>32</v>
      </c>
      <c r="B16" s="11">
        <v>320.4434</v>
      </c>
      <c r="C16" s="11">
        <v>648.53330000000005</v>
      </c>
      <c r="D16" s="1">
        <v>1</v>
      </c>
      <c r="E16" s="1" t="s">
        <v>102</v>
      </c>
      <c r="F16" s="1">
        <v>952</v>
      </c>
      <c r="G16" s="1">
        <v>544</v>
      </c>
      <c r="H16" s="12">
        <v>0.96040000000000003</v>
      </c>
      <c r="I16" s="12">
        <v>1.3480000000000001</v>
      </c>
      <c r="J16" s="1" t="s">
        <v>92</v>
      </c>
      <c r="K16" s="1" t="s">
        <v>93</v>
      </c>
    </row>
    <row r="17" spans="1:11">
      <c r="A17" s="1" t="s">
        <v>33</v>
      </c>
      <c r="B17" s="11">
        <v>327.84140000000002</v>
      </c>
      <c r="C17" s="11">
        <v>654.01419999999996</v>
      </c>
      <c r="D17" s="1">
        <v>1</v>
      </c>
      <c r="E17" s="1" t="s">
        <v>103</v>
      </c>
      <c r="F17" s="1">
        <v>989</v>
      </c>
      <c r="G17" s="1">
        <v>571</v>
      </c>
      <c r="H17" s="12">
        <v>1</v>
      </c>
      <c r="I17" s="12">
        <v>0.95299999999999996</v>
      </c>
      <c r="J17" s="1" t="s">
        <v>92</v>
      </c>
      <c r="K17" s="1" t="s">
        <v>93</v>
      </c>
    </row>
    <row r="18" spans="1:11">
      <c r="A18" s="1" t="s">
        <v>34</v>
      </c>
      <c r="B18" s="11">
        <v>334.8614</v>
      </c>
      <c r="C18" s="11">
        <v>659.41420000000005</v>
      </c>
      <c r="D18" s="1">
        <v>1</v>
      </c>
      <c r="E18" s="1" t="s">
        <v>104</v>
      </c>
      <c r="F18" s="1">
        <v>1024</v>
      </c>
      <c r="G18" s="1">
        <v>598</v>
      </c>
      <c r="H18" s="12">
        <v>1</v>
      </c>
      <c r="I18" s="12">
        <v>0.98</v>
      </c>
      <c r="J18" s="1" t="s">
        <v>92</v>
      </c>
      <c r="K18" s="1" t="s">
        <v>93</v>
      </c>
    </row>
    <row r="19" spans="1:11">
      <c r="A19" s="1" t="s">
        <v>35</v>
      </c>
      <c r="B19" s="11">
        <v>361.24040000000002</v>
      </c>
      <c r="C19" s="11">
        <v>654.01419999999996</v>
      </c>
      <c r="D19" s="1">
        <v>1</v>
      </c>
      <c r="E19" s="1" t="s">
        <v>105</v>
      </c>
      <c r="F19" s="1">
        <v>1156</v>
      </c>
      <c r="G19" s="1">
        <v>571</v>
      </c>
      <c r="H19" s="12">
        <v>1</v>
      </c>
      <c r="I19" s="12">
        <v>0.95099999999999996</v>
      </c>
      <c r="J19" s="1" t="s">
        <v>92</v>
      </c>
      <c r="K19" s="1" t="s">
        <v>93</v>
      </c>
    </row>
    <row r="20" spans="1:11">
      <c r="A20" s="1" t="s">
        <v>36</v>
      </c>
      <c r="B20" s="11">
        <v>361.99639999999999</v>
      </c>
      <c r="C20" s="11">
        <v>659.41420000000005</v>
      </c>
      <c r="D20" s="1">
        <v>1</v>
      </c>
      <c r="E20" s="1" t="s">
        <v>106</v>
      </c>
      <c r="F20" s="1">
        <v>1160</v>
      </c>
      <c r="G20" s="1">
        <v>598</v>
      </c>
      <c r="H20" s="12">
        <v>0.93559999999999999</v>
      </c>
      <c r="I20" s="12">
        <v>0.93</v>
      </c>
      <c r="J20" s="1" t="s">
        <v>92</v>
      </c>
      <c r="K20" s="1" t="s">
        <v>93</v>
      </c>
    </row>
    <row r="21" spans="1:11">
      <c r="A21" s="1" t="s">
        <v>37</v>
      </c>
      <c r="B21" s="11">
        <v>362.15839999999997</v>
      </c>
      <c r="C21" s="11">
        <v>654.01419999999996</v>
      </c>
      <c r="D21" s="1">
        <v>1</v>
      </c>
      <c r="E21" s="1" t="s">
        <v>107</v>
      </c>
      <c r="F21" s="1"/>
      <c r="G21" s="1"/>
      <c r="H21" s="12"/>
      <c r="I21" s="12"/>
      <c r="J21" s="9" t="s">
        <v>38</v>
      </c>
      <c r="K21" s="1" t="s">
        <v>108</v>
      </c>
    </row>
    <row r="22" spans="1:11">
      <c r="A22" s="1" t="s">
        <v>40</v>
      </c>
      <c r="B22" s="11">
        <v>409.43540000000002</v>
      </c>
      <c r="C22" s="11">
        <v>659.41420000000005</v>
      </c>
      <c r="D22" s="1">
        <v>2</v>
      </c>
      <c r="E22" s="1" t="s">
        <v>109</v>
      </c>
      <c r="F22" s="1">
        <v>1397</v>
      </c>
      <c r="G22" s="1">
        <v>598</v>
      </c>
      <c r="H22" s="12">
        <v>0.995</v>
      </c>
      <c r="I22" s="12">
        <v>0.94699999999999995</v>
      </c>
      <c r="J22" s="1" t="s">
        <v>92</v>
      </c>
      <c r="K22" s="1" t="s">
        <v>110</v>
      </c>
    </row>
    <row r="23" spans="1:11">
      <c r="A23" s="1" t="s">
        <v>42</v>
      </c>
      <c r="B23" s="11">
        <v>409.43540000000002</v>
      </c>
      <c r="C23" s="11">
        <v>664.89530000000002</v>
      </c>
      <c r="D23" s="1">
        <v>3</v>
      </c>
      <c r="E23" s="1" t="s">
        <v>111</v>
      </c>
      <c r="F23" s="1">
        <v>1397</v>
      </c>
      <c r="G23" s="1">
        <v>625</v>
      </c>
      <c r="H23" s="12">
        <v>1</v>
      </c>
      <c r="I23" s="12">
        <v>0.55000000000000004</v>
      </c>
      <c r="J23" s="1" t="s">
        <v>92</v>
      </c>
      <c r="K23" s="1" t="s">
        <v>112</v>
      </c>
    </row>
    <row r="24" spans="1:11">
      <c r="A24" s="1" t="s">
        <v>43</v>
      </c>
      <c r="B24" s="11">
        <v>243.49340000000001</v>
      </c>
      <c r="C24" s="11">
        <v>599.42020000000002</v>
      </c>
      <c r="D24" s="1">
        <v>1</v>
      </c>
      <c r="E24" s="1" t="s">
        <v>113</v>
      </c>
      <c r="F24" s="1">
        <v>568</v>
      </c>
      <c r="G24" s="1">
        <v>297</v>
      </c>
      <c r="H24" s="12">
        <v>0.99460000000000004</v>
      </c>
      <c r="I24" s="12">
        <v>0.53900000000000003</v>
      </c>
      <c r="J24" s="1" t="s">
        <v>92</v>
      </c>
      <c r="K24" s="1" t="s">
        <v>93</v>
      </c>
    </row>
    <row r="25" spans="1:11">
      <c r="A25" s="1" t="s">
        <v>45</v>
      </c>
      <c r="B25" s="11">
        <v>252.9434</v>
      </c>
      <c r="C25" s="11">
        <v>599.42020000000002</v>
      </c>
      <c r="D25" s="1">
        <v>1</v>
      </c>
      <c r="E25" s="1" t="s">
        <v>114</v>
      </c>
      <c r="F25" s="1">
        <v>615</v>
      </c>
      <c r="G25" s="1">
        <v>297</v>
      </c>
      <c r="H25" s="12">
        <v>0.98380000000000001</v>
      </c>
      <c r="I25" s="12">
        <v>0.29699999999999999</v>
      </c>
      <c r="J25" s="1" t="s">
        <v>92</v>
      </c>
      <c r="K25" s="1" t="s">
        <v>93</v>
      </c>
    </row>
    <row r="26" spans="1:11">
      <c r="A26" s="1" t="s">
        <v>46</v>
      </c>
      <c r="B26" s="11">
        <v>255.07640000000001</v>
      </c>
      <c r="C26" s="11">
        <v>604.90120000000002</v>
      </c>
      <c r="D26" s="1">
        <v>1</v>
      </c>
      <c r="E26" s="1" t="s">
        <v>115</v>
      </c>
      <c r="F26" s="1">
        <v>625</v>
      </c>
      <c r="G26" s="1">
        <v>324</v>
      </c>
      <c r="H26" s="12">
        <v>0.70809999999999995</v>
      </c>
      <c r="I26" s="12">
        <v>0.63600000000000001</v>
      </c>
      <c r="J26" s="1" t="s">
        <v>92</v>
      </c>
      <c r="K26" s="1" t="s">
        <v>93</v>
      </c>
    </row>
    <row r="27" spans="1:11">
      <c r="A27" s="1" t="s">
        <v>47</v>
      </c>
      <c r="B27" s="11">
        <v>256.6694</v>
      </c>
      <c r="C27" s="11">
        <v>604.90120000000002</v>
      </c>
      <c r="D27" s="1">
        <v>1</v>
      </c>
      <c r="E27" s="1" t="s">
        <v>116</v>
      </c>
      <c r="F27" s="1">
        <v>634</v>
      </c>
      <c r="G27" s="1">
        <v>325</v>
      </c>
      <c r="H27" s="12">
        <v>0.94589999999999996</v>
      </c>
      <c r="I27" s="12">
        <v>0.81399999999999995</v>
      </c>
      <c r="J27" s="1" t="s">
        <v>92</v>
      </c>
      <c r="K27" s="1" t="s">
        <v>93</v>
      </c>
    </row>
    <row r="28" spans="1:11">
      <c r="A28" s="1" t="s">
        <v>48</v>
      </c>
      <c r="B28" s="11">
        <v>257.29039999999998</v>
      </c>
      <c r="C28" s="11">
        <v>604.90120000000002</v>
      </c>
      <c r="D28" s="1">
        <v>1</v>
      </c>
      <c r="E28" s="1" t="s">
        <v>117</v>
      </c>
      <c r="F28" s="1"/>
      <c r="G28" s="1"/>
      <c r="H28" s="12"/>
      <c r="I28" s="12"/>
      <c r="J28" s="9" t="s">
        <v>38</v>
      </c>
      <c r="K28" s="1" t="s">
        <v>108</v>
      </c>
    </row>
    <row r="29" spans="1:11">
      <c r="A29" s="1" t="s">
        <v>49</v>
      </c>
      <c r="B29" s="11">
        <v>267.19940000000003</v>
      </c>
      <c r="C29" s="11">
        <v>610.32820000000004</v>
      </c>
      <c r="D29" s="1">
        <v>1</v>
      </c>
      <c r="E29" s="1" t="s">
        <v>118</v>
      </c>
      <c r="F29" s="1">
        <v>687</v>
      </c>
      <c r="G29" s="1">
        <v>351</v>
      </c>
      <c r="H29" s="12">
        <v>0.92969999999999997</v>
      </c>
      <c r="I29" s="12">
        <v>1.1870000000000001</v>
      </c>
      <c r="J29" s="1" t="s">
        <v>92</v>
      </c>
      <c r="K29" s="1" t="s">
        <v>93</v>
      </c>
    </row>
    <row r="30" spans="1:11">
      <c r="A30" s="1" t="s">
        <v>50</v>
      </c>
      <c r="B30" s="11">
        <v>268.03640000000001</v>
      </c>
      <c r="C30" s="11">
        <v>621.26319999999998</v>
      </c>
      <c r="D30" s="1">
        <v>1</v>
      </c>
      <c r="E30" s="1" t="s">
        <v>119</v>
      </c>
      <c r="F30" s="1">
        <v>691</v>
      </c>
      <c r="G30" s="1">
        <v>406</v>
      </c>
      <c r="H30" s="12">
        <v>0.89729999999999999</v>
      </c>
      <c r="I30" s="12">
        <v>0.88</v>
      </c>
      <c r="J30" s="1" t="s">
        <v>92</v>
      </c>
      <c r="K30" s="1" t="s">
        <v>93</v>
      </c>
    </row>
    <row r="31" spans="1:11">
      <c r="A31" s="1" t="s">
        <v>51</v>
      </c>
      <c r="B31" s="11">
        <v>274.21940000000001</v>
      </c>
      <c r="C31" s="11">
        <v>610.32820000000004</v>
      </c>
      <c r="D31" s="1">
        <v>1</v>
      </c>
      <c r="E31" s="1" t="s">
        <v>120</v>
      </c>
      <c r="F31" s="1">
        <v>722</v>
      </c>
      <c r="G31" s="1">
        <v>352</v>
      </c>
      <c r="H31" s="12">
        <v>0.91890000000000005</v>
      </c>
      <c r="I31" s="12">
        <v>0.96899999999999997</v>
      </c>
      <c r="J31" s="1" t="s">
        <v>92</v>
      </c>
      <c r="K31" s="1" t="s">
        <v>93</v>
      </c>
    </row>
    <row r="32" spans="1:11">
      <c r="A32" s="1" t="s">
        <v>52</v>
      </c>
      <c r="B32" s="11">
        <v>291.60739999999998</v>
      </c>
      <c r="C32" s="11">
        <v>615.80930000000001</v>
      </c>
      <c r="D32" s="1">
        <v>1</v>
      </c>
      <c r="E32" s="1" t="s">
        <v>121</v>
      </c>
      <c r="F32" s="1">
        <v>808</v>
      </c>
      <c r="G32" s="1">
        <v>379</v>
      </c>
      <c r="H32" s="12">
        <v>0.79459999999999997</v>
      </c>
      <c r="I32" s="12">
        <v>6.4000000000000001E-2</v>
      </c>
      <c r="J32" s="1" t="s">
        <v>92</v>
      </c>
      <c r="K32" s="1" t="s">
        <v>93</v>
      </c>
    </row>
    <row r="33" spans="1:11">
      <c r="A33" s="1" t="s">
        <v>53</v>
      </c>
      <c r="B33" s="11">
        <v>292.7414</v>
      </c>
      <c r="C33" s="11">
        <v>615.80930000000001</v>
      </c>
      <c r="D33" s="1">
        <v>1</v>
      </c>
      <c r="E33" s="1" t="s">
        <v>122</v>
      </c>
      <c r="F33" s="1"/>
      <c r="G33" s="1"/>
      <c r="H33" s="12"/>
      <c r="I33" s="12"/>
      <c r="J33" s="9" t="s">
        <v>38</v>
      </c>
      <c r="K33" s="1" t="s">
        <v>108</v>
      </c>
    </row>
    <row r="34" spans="1:11">
      <c r="A34" s="1" t="s">
        <v>54</v>
      </c>
      <c r="B34" s="11">
        <v>293.65940000000001</v>
      </c>
      <c r="C34" s="11">
        <v>615.80930000000001</v>
      </c>
      <c r="D34" s="1">
        <v>1</v>
      </c>
      <c r="E34" s="1" t="s">
        <v>123</v>
      </c>
      <c r="F34" s="1">
        <v>819</v>
      </c>
      <c r="G34" s="1">
        <v>379</v>
      </c>
      <c r="H34" s="12">
        <v>0.98919999999999997</v>
      </c>
      <c r="I34" s="12">
        <v>0.70199999999999996</v>
      </c>
      <c r="J34" s="1" t="s">
        <v>92</v>
      </c>
      <c r="K34" s="1" t="s">
        <v>93</v>
      </c>
    </row>
    <row r="35" spans="1:11">
      <c r="A35" s="1" t="s">
        <v>55</v>
      </c>
      <c r="B35" s="11">
        <v>334.53739999999999</v>
      </c>
      <c r="C35" s="11">
        <v>615.80930000000001</v>
      </c>
      <c r="D35" s="1">
        <v>1</v>
      </c>
      <c r="E35" s="1" t="s">
        <v>124</v>
      </c>
      <c r="F35" s="1">
        <v>1023</v>
      </c>
      <c r="G35" s="1">
        <v>379</v>
      </c>
      <c r="H35" s="12">
        <v>1</v>
      </c>
      <c r="I35" s="12">
        <v>0.314</v>
      </c>
      <c r="J35" s="1" t="s">
        <v>92</v>
      </c>
      <c r="K35" s="1" t="s">
        <v>93</v>
      </c>
    </row>
    <row r="36" spans="1:11">
      <c r="A36" s="1" t="s">
        <v>56</v>
      </c>
      <c r="B36" s="11">
        <v>363.58940000000001</v>
      </c>
      <c r="C36" s="11">
        <v>626.6902</v>
      </c>
      <c r="D36" s="1">
        <v>1</v>
      </c>
      <c r="E36" s="1" t="s">
        <v>125</v>
      </c>
      <c r="F36" s="1">
        <v>1168</v>
      </c>
      <c r="G36" s="1">
        <v>433</v>
      </c>
      <c r="H36" s="12">
        <v>0.91890000000000005</v>
      </c>
      <c r="I36" s="12">
        <v>0.45300000000000001</v>
      </c>
      <c r="J36" s="1" t="s">
        <v>92</v>
      </c>
      <c r="K36" s="1" t="s">
        <v>93</v>
      </c>
    </row>
    <row r="37" spans="1:11">
      <c r="A37" s="1" t="s">
        <v>57</v>
      </c>
      <c r="B37" s="11">
        <v>366.42439999999999</v>
      </c>
      <c r="C37" s="11">
        <v>626.6902</v>
      </c>
      <c r="D37" s="1">
        <v>1</v>
      </c>
      <c r="E37" s="1" t="s">
        <v>126</v>
      </c>
      <c r="F37" s="1">
        <v>1183</v>
      </c>
      <c r="G37" s="1">
        <v>433</v>
      </c>
      <c r="H37" s="12">
        <v>0.88649999999999995</v>
      </c>
      <c r="I37" s="12">
        <v>0.98799999999999999</v>
      </c>
      <c r="J37" s="1" t="s">
        <v>92</v>
      </c>
      <c r="K37" s="1" t="s">
        <v>93</v>
      </c>
    </row>
    <row r="38" spans="1:11">
      <c r="A38" s="1" t="s">
        <v>58</v>
      </c>
      <c r="B38" s="11">
        <v>369.3134</v>
      </c>
      <c r="C38" s="11">
        <v>626.6902</v>
      </c>
      <c r="D38" s="1">
        <v>1</v>
      </c>
      <c r="E38" s="1" t="s">
        <v>127</v>
      </c>
      <c r="F38" s="1">
        <v>1197</v>
      </c>
      <c r="G38" s="1">
        <v>433</v>
      </c>
      <c r="H38" s="12">
        <v>0.88649999999999995</v>
      </c>
      <c r="I38" s="12">
        <v>0.622</v>
      </c>
      <c r="J38" s="1" t="s">
        <v>92</v>
      </c>
      <c r="K38" s="1" t="s">
        <v>93</v>
      </c>
    </row>
    <row r="39" spans="1:11">
      <c r="A39" s="1" t="s">
        <v>59</v>
      </c>
      <c r="B39" s="11">
        <v>409.43540000000002</v>
      </c>
      <c r="C39" s="11">
        <v>626.6902</v>
      </c>
      <c r="D39" s="1">
        <v>1</v>
      </c>
      <c r="E39" s="1" t="s">
        <v>128</v>
      </c>
      <c r="F39" s="1">
        <v>1397</v>
      </c>
      <c r="G39" s="1">
        <v>434</v>
      </c>
      <c r="H39" s="12">
        <v>0.93510000000000004</v>
      </c>
      <c r="I39" s="12">
        <v>0.57899999999999996</v>
      </c>
      <c r="J39" s="1" t="s">
        <v>92</v>
      </c>
      <c r="K39" s="1" t="s">
        <v>129</v>
      </c>
    </row>
    <row r="40" spans="1:11">
      <c r="A40" s="1" t="s">
        <v>60</v>
      </c>
      <c r="B40" s="11">
        <v>409.43540000000002</v>
      </c>
      <c r="C40" s="11">
        <v>632.17129999999997</v>
      </c>
      <c r="D40" s="1">
        <v>3</v>
      </c>
      <c r="E40" s="1" t="s">
        <v>130</v>
      </c>
      <c r="F40" s="1">
        <v>1398</v>
      </c>
      <c r="G40" s="1">
        <v>461</v>
      </c>
      <c r="H40" s="12">
        <v>0.96220000000000006</v>
      </c>
      <c r="I40" s="12">
        <v>0.83199999999999996</v>
      </c>
      <c r="J40" s="1" t="s">
        <v>92</v>
      </c>
      <c r="K40" s="1" t="s">
        <v>112</v>
      </c>
    </row>
    <row r="41" spans="1:11">
      <c r="A41" s="1" t="s">
        <v>61</v>
      </c>
      <c r="B41" s="11">
        <v>243.03440000000001</v>
      </c>
      <c r="C41" s="11">
        <v>577.57719999999995</v>
      </c>
      <c r="D41" s="1">
        <v>1</v>
      </c>
      <c r="E41" s="1" t="s">
        <v>131</v>
      </c>
      <c r="F41" s="1">
        <v>565</v>
      </c>
      <c r="G41" s="1">
        <v>187</v>
      </c>
      <c r="H41" s="12">
        <v>0.93669999999999998</v>
      </c>
      <c r="I41" s="12">
        <v>0.90600000000000003</v>
      </c>
      <c r="J41" s="1" t="s">
        <v>92</v>
      </c>
      <c r="K41" s="1" t="s">
        <v>93</v>
      </c>
    </row>
    <row r="42" spans="1:11">
      <c r="A42" s="1" t="s">
        <v>63</v>
      </c>
      <c r="B42" s="11">
        <v>250.64840000000001</v>
      </c>
      <c r="C42" s="11">
        <v>583.05820000000006</v>
      </c>
      <c r="D42" s="1">
        <v>1</v>
      </c>
      <c r="E42" s="1" t="s">
        <v>132</v>
      </c>
      <c r="F42" s="1">
        <v>603</v>
      </c>
      <c r="G42" s="1">
        <v>215</v>
      </c>
      <c r="H42" s="12">
        <v>0.95930000000000004</v>
      </c>
      <c r="I42" s="12">
        <v>0.376</v>
      </c>
      <c r="J42" s="1" t="s">
        <v>92</v>
      </c>
      <c r="K42" s="1" t="s">
        <v>93</v>
      </c>
    </row>
    <row r="43" spans="1:11">
      <c r="A43" s="1" t="s">
        <v>64</v>
      </c>
      <c r="B43" s="11">
        <v>255.99440000000001</v>
      </c>
      <c r="C43" s="11">
        <v>583.05820000000006</v>
      </c>
      <c r="D43" s="1">
        <v>1</v>
      </c>
      <c r="E43" s="1" t="s">
        <v>133</v>
      </c>
      <c r="F43" s="1">
        <v>630</v>
      </c>
      <c r="G43" s="1">
        <v>215</v>
      </c>
      <c r="H43" s="12">
        <v>0.91859999999999997</v>
      </c>
      <c r="I43" s="12">
        <v>0.29199999999999998</v>
      </c>
      <c r="J43" s="1" t="s">
        <v>92</v>
      </c>
      <c r="K43" s="1" t="s">
        <v>93</v>
      </c>
    </row>
    <row r="44" spans="1:11">
      <c r="A44" s="1" t="s">
        <v>65</v>
      </c>
      <c r="B44" s="11">
        <v>257.96539999999999</v>
      </c>
      <c r="C44" s="11">
        <v>577.57719999999995</v>
      </c>
      <c r="D44" s="1">
        <v>1</v>
      </c>
      <c r="E44" s="1" t="s">
        <v>134</v>
      </c>
      <c r="F44" s="1">
        <v>639</v>
      </c>
      <c r="G44" s="1">
        <v>187</v>
      </c>
      <c r="H44" s="12">
        <v>0.91400000000000003</v>
      </c>
      <c r="I44" s="12">
        <v>1.2170000000000001</v>
      </c>
      <c r="J44" s="1" t="s">
        <v>92</v>
      </c>
      <c r="K44" s="1" t="s">
        <v>93</v>
      </c>
    </row>
    <row r="45" spans="1:11">
      <c r="A45" s="1" t="s">
        <v>66</v>
      </c>
      <c r="B45" s="11">
        <v>262.77140000000003</v>
      </c>
      <c r="C45" s="11">
        <v>588.53920000000005</v>
      </c>
      <c r="D45" s="1">
        <v>1</v>
      </c>
      <c r="E45" s="1" t="s">
        <v>135</v>
      </c>
      <c r="F45" s="1">
        <v>663</v>
      </c>
      <c r="G45" s="1">
        <v>242</v>
      </c>
      <c r="H45" s="12">
        <v>0.91400000000000003</v>
      </c>
      <c r="I45" s="12">
        <v>1.109</v>
      </c>
      <c r="J45" s="1" t="s">
        <v>92</v>
      </c>
      <c r="K45" s="1" t="s">
        <v>93</v>
      </c>
    </row>
    <row r="46" spans="1:11">
      <c r="A46" s="1" t="s">
        <v>67</v>
      </c>
      <c r="B46" s="11">
        <v>268.8734</v>
      </c>
      <c r="C46" s="11">
        <v>588.53920000000005</v>
      </c>
      <c r="D46" s="1">
        <v>1</v>
      </c>
      <c r="E46" s="1" t="s">
        <v>136</v>
      </c>
      <c r="F46" s="1">
        <v>694</v>
      </c>
      <c r="G46" s="1">
        <v>242</v>
      </c>
      <c r="H46" s="12">
        <v>0.99550000000000005</v>
      </c>
      <c r="I46" s="12">
        <v>0.79200000000000004</v>
      </c>
      <c r="J46" s="1" t="s">
        <v>92</v>
      </c>
      <c r="K46" s="1" t="s">
        <v>93</v>
      </c>
    </row>
    <row r="47" spans="1:11">
      <c r="A47" s="1" t="s">
        <v>68</v>
      </c>
      <c r="B47" s="11">
        <v>295.57639999999998</v>
      </c>
      <c r="C47" s="11">
        <v>593.93920000000003</v>
      </c>
      <c r="D47" s="1">
        <v>1</v>
      </c>
      <c r="E47" s="1" t="s">
        <v>137</v>
      </c>
      <c r="F47" s="1">
        <v>827</v>
      </c>
      <c r="G47" s="1">
        <v>269</v>
      </c>
      <c r="H47" s="12">
        <v>0.93669999999999998</v>
      </c>
      <c r="I47" s="12">
        <v>1.1240000000000001</v>
      </c>
      <c r="J47" s="1" t="s">
        <v>92</v>
      </c>
      <c r="K47" s="1" t="s">
        <v>93</v>
      </c>
    </row>
    <row r="48" spans="1:11">
      <c r="A48" s="1" t="s">
        <v>69</v>
      </c>
      <c r="B48" s="11">
        <v>296.03539999999998</v>
      </c>
      <c r="C48" s="11">
        <v>599.4203</v>
      </c>
      <c r="D48" s="1">
        <v>1</v>
      </c>
      <c r="E48" s="1" t="s">
        <v>138</v>
      </c>
      <c r="F48" s="1">
        <v>830</v>
      </c>
      <c r="G48" s="1">
        <v>296</v>
      </c>
      <c r="H48" s="12">
        <v>0.90949999999999998</v>
      </c>
      <c r="I48" s="12">
        <v>1.115</v>
      </c>
      <c r="J48" s="1" t="s">
        <v>92</v>
      </c>
      <c r="K48" s="1" t="s">
        <v>93</v>
      </c>
    </row>
    <row r="49" spans="1:11">
      <c r="A49" s="1" t="s">
        <v>70</v>
      </c>
      <c r="B49" s="11">
        <v>301.8134</v>
      </c>
      <c r="C49" s="11">
        <v>599.4203</v>
      </c>
      <c r="D49" s="1">
        <v>1</v>
      </c>
      <c r="E49" s="1" t="s">
        <v>139</v>
      </c>
      <c r="F49" s="1">
        <v>859</v>
      </c>
      <c r="G49" s="1">
        <v>296</v>
      </c>
      <c r="H49" s="12">
        <v>0.90949999999999998</v>
      </c>
      <c r="I49" s="12">
        <v>1.1020000000000001</v>
      </c>
      <c r="J49" s="1" t="s">
        <v>92</v>
      </c>
      <c r="K49" s="1" t="s">
        <v>93</v>
      </c>
    </row>
    <row r="50" spans="1:11">
      <c r="A50" s="1" t="s">
        <v>71</v>
      </c>
      <c r="B50" s="11">
        <v>308.4554</v>
      </c>
      <c r="C50" s="11">
        <v>599.4203</v>
      </c>
      <c r="D50" s="1">
        <v>1</v>
      </c>
      <c r="E50" s="1" t="s">
        <v>140</v>
      </c>
      <c r="F50" s="1">
        <v>892</v>
      </c>
      <c r="G50" s="1">
        <v>296</v>
      </c>
      <c r="H50" s="12">
        <v>0.92759999999999998</v>
      </c>
      <c r="I50" s="12">
        <v>1.135</v>
      </c>
      <c r="J50" s="1" t="s">
        <v>92</v>
      </c>
      <c r="K50" s="1" t="s">
        <v>93</v>
      </c>
    </row>
    <row r="51" spans="1:11">
      <c r="A51" s="1" t="s">
        <v>72</v>
      </c>
      <c r="B51" s="11">
        <v>314.2604</v>
      </c>
      <c r="C51" s="11">
        <v>593.93920000000003</v>
      </c>
      <c r="D51" s="1">
        <v>1</v>
      </c>
      <c r="E51" s="1" t="s">
        <v>141</v>
      </c>
      <c r="F51" s="1">
        <v>921</v>
      </c>
      <c r="G51" s="1">
        <v>269</v>
      </c>
      <c r="H51" s="12">
        <v>1</v>
      </c>
      <c r="I51" s="12">
        <v>0.76200000000000001</v>
      </c>
      <c r="J51" s="1" t="s">
        <v>92</v>
      </c>
      <c r="K51" s="1" t="s">
        <v>93</v>
      </c>
    </row>
    <row r="52" spans="1:11">
      <c r="A52" s="1" t="s">
        <v>73</v>
      </c>
      <c r="B52" s="11">
        <v>333.16039999999998</v>
      </c>
      <c r="C52" s="11">
        <v>610.32820000000004</v>
      </c>
      <c r="D52" s="1">
        <v>1</v>
      </c>
      <c r="E52" s="1" t="s">
        <v>142</v>
      </c>
      <c r="F52" s="1">
        <v>1015</v>
      </c>
      <c r="G52" s="1">
        <v>351</v>
      </c>
      <c r="H52" s="12">
        <v>0.91400000000000003</v>
      </c>
      <c r="I52" s="12">
        <v>1.024</v>
      </c>
      <c r="J52" s="1" t="s">
        <v>92</v>
      </c>
      <c r="K52" s="1" t="s">
        <v>93</v>
      </c>
    </row>
    <row r="53" spans="1:11">
      <c r="A53" s="1" t="s">
        <v>74</v>
      </c>
      <c r="B53" s="11">
        <v>349.54939999999999</v>
      </c>
      <c r="C53" s="11">
        <v>604.90120000000002</v>
      </c>
      <c r="D53" s="1">
        <v>1</v>
      </c>
      <c r="E53" s="1" t="s">
        <v>143</v>
      </c>
      <c r="F53" s="1">
        <v>1097</v>
      </c>
      <c r="G53" s="1">
        <v>324</v>
      </c>
      <c r="H53" s="12">
        <v>0.92759999999999998</v>
      </c>
      <c r="I53" s="12">
        <v>0.90700000000000003</v>
      </c>
      <c r="J53" s="1" t="s">
        <v>92</v>
      </c>
      <c r="K53" s="1" t="s">
        <v>93</v>
      </c>
    </row>
    <row r="54" spans="1:11">
      <c r="A54" s="1" t="s">
        <v>75</v>
      </c>
      <c r="B54" s="11">
        <v>409.43540000000002</v>
      </c>
      <c r="C54" s="11">
        <v>604.90120000000002</v>
      </c>
      <c r="D54" s="1">
        <v>3</v>
      </c>
      <c r="E54" s="1" t="s">
        <v>144</v>
      </c>
      <c r="F54" s="1">
        <v>1397</v>
      </c>
      <c r="G54" s="1">
        <v>324</v>
      </c>
      <c r="H54" s="12">
        <v>0.9819</v>
      </c>
      <c r="I54" s="12">
        <v>0.54100000000000004</v>
      </c>
      <c r="J54" s="1" t="s">
        <v>92</v>
      </c>
      <c r="K54" s="1" t="s">
        <v>112</v>
      </c>
    </row>
    <row r="55" spans="1:11">
      <c r="A55" s="1" t="s">
        <v>76</v>
      </c>
      <c r="B55" s="11">
        <v>409.43540000000002</v>
      </c>
      <c r="C55" s="11">
        <v>610.32820000000004</v>
      </c>
      <c r="D55" s="1">
        <v>2</v>
      </c>
      <c r="E55" s="1" t="s">
        <v>145</v>
      </c>
      <c r="F55" s="1">
        <v>1397</v>
      </c>
      <c r="G55" s="1">
        <v>351</v>
      </c>
      <c r="H55" s="12">
        <v>0.9819</v>
      </c>
      <c r="I55" s="12">
        <v>0.66500000000000004</v>
      </c>
      <c r="J55" s="1" t="s">
        <v>92</v>
      </c>
      <c r="K55" s="1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Specimen ledger</vt:lpstr>
      <vt:lpstr>Reading 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Sree Arravind M</cp:lastModifiedBy>
  <dcterms:modified xsi:type="dcterms:W3CDTF">2026-10-06T12:09:35Z</dcterms:modified>
</cp:coreProperties>
</file>