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64c695103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and QA" sheetId="1" r:id="Rcac5d4e1b216468b"/>
    <x:sheet xmlns:r="http://schemas.openxmlformats.org/officeDocument/2006/relationships" name="Fatigue records" sheetId="2" r:id="Ra1aa635a5e75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"/>
    <x:numFmt numFmtId="203" formatCode="0.000"/>
  </x:numFmts>
  <x:fonts count="5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15"/>
      <x:color rgb="FF20364B"/>
      <x:name val="Arial"/>
    </x:font>
    <x:font>
      <x:b/>
      <x:sz val="10"/>
      <x:color rgb="FF2036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4E6"/>
      </x:patternFill>
    </x:fill>
    <x:fill>
      <x:patternFill patternType="solid">
        <x:fgColor rgb="FFFFF0D8"/>
      </x:patternFill>
    </x:fill>
    <x:fill>
      <x:patternFill patternType="solid">
        <x:fgColor rgb="FFE8EFF5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b87982df44784" /><Relationship Type="http://schemas.openxmlformats.org/officeDocument/2006/relationships/theme" Target="/xl/theme/theme1.xml" Id="Rd6ad4c5f4a87426b" /><Relationship Type="http://schemas.openxmlformats.org/officeDocument/2006/relationships/sharedStrings" Target="/xl/sharedStrings.xml" Id="R81807dc2ae354a33" /><Relationship Type="http://schemas.openxmlformats.org/officeDocument/2006/relationships/worksheet" Target="/xl/worksheets/sheet1.xml" Id="Rcac5d4e1b216468b" /><Relationship Type="http://schemas.openxmlformats.org/officeDocument/2006/relationships/worksheet" Target="/xl/worksheets/sheet2.xml" Id="Ra1aa635a5e754d10" /></Relationships>
</file>

<file path=xl/tables/table1.xml><?xml version="1.0" encoding="utf-8"?>
<x:table xmlns:x="http://schemas.openxmlformats.org/spreadsheetml/2006/main" id="1" name="FatigueEpisodes" displayName="FatigueEpisodes" ref="A1:W14" headerRowCount="1" totalsRowCount="0" totalsRowShown="0">
  <x:tableColumns count="23">
    <x:tableColumn id="1" name="specimen_id"/>
    <x:tableColumn id="2" name="episode_no"/>
    <x:tableColumn id="3" name="test_history"/>
    <x:tableColumn id="4" name="delta_sigma_MPa"/>
    <x:tableColumn id="5" name="sigma_a_MPa_calc"/>
    <x:tableColumn id="6" name="observed_cycles"/>
    <x:tableColumn id="7" name="outcome_reported"/>
    <x:tableColumn id="8" name="event_failure_1"/>
    <x:tableColumn id="9" name="stress_ratio_R"/>
    <x:tableColumn id="10" name="ct_sqrt_area_um"/>
    <x:tableColumn id="11" name="ct_h_um"/>
    <x:tableColumn id="12" name="ct_d_published"/>
    <x:tableColumn id="13" name="ct_sphericity"/>
    <x:tableColumn id="14" name="Y_published"/>
    <x:tableColumn id="15" name="deltaK_published_MPa_sqrt_m"/>
    <x:tableColumn id="16" name="h_over_r_calc"/>
    <x:tableColumn id="17" name="Y_from_eq10_calc"/>
    <x:tableColumn id="18" name="Y_check"/>
    <x:tableColumn id="19" name="analysis_status"/>
    <x:tableColumn id="20" name="source_location"/>
    <x:tableColumn id="21" name="experimental_source_doi"/>
    <x:tableColumn id="22" name="reporting_source_doi"/>
    <x:tableColumn id="23" name="record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9b38c987c64045" /></Relationships>
</file>

<file path=xl/worksheets/sheet1.xml><?xml version="1.0" encoding="utf-8"?>
<x:worksheet xmlns:x="http://schemas.openxmlformats.org/spreadsheetml/2006/main">
  <x:sheetPr>
    <x:tabColor rgb="FF718698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2">
      <x:c r="A2" s="19" t="str">
        <x:v>Paper #6 | experimental extraction audit</x:v>
      </x:c>
    </x:row>
    <x:row r="4" ht="31" customHeight="1">
      <x:c r="A4" s="20" t="str">
        <x:v>Report transcribed</x:v>
      </x:c>
      <x:c r="B4" s="21" t="str">
        <x:v>Tognan et al., Computer Methods in Applied Mechanics and Engineering 418 (2024) 116521; DOI 10.1016/j.cma.2023.116521</x:v>
      </x:c>
    </x:row>
    <x:row r="5" ht="31" customHeight="1">
      <x:c r="A5" s="20" t="str">
        <x:v>Experimental source</x:v>
      </x:c>
      <x:c r="B5" s="21" t="str">
        <x:v>Romano et al., Engineering Fracture Mechanics 187 (2018) 165-189; DOI 10.1016/j.engfracmech.2017.11.002</x:v>
      </x:c>
    </x:row>
    <x:row r="6" ht="31" customHeight="1">
      <x:c r="A6" s="20" t="str">
        <x:v>PDF used</x:v>
      </x:c>
      <x:c r="B6" s="21" t="str">
        <x:v>https://drive.google.com/file/d/1nuDehZjgKPWZIMB1DuVqsJvpyx9T-I60/view</x:v>
      </x:c>
    </x:row>
    <x:row r="7" ht="31" customHeight="1">
      <x:c r="A7" s="20" t="str">
        <x:v>Observations</x:v>
      </x:c>
      <x:c r="B7" s="21" t="str">
        <x:v>13 fatigue test episodes from Tables 1-2; all experimentally reported, zero synthetic entries.</x:v>
      </x:c>
    </x:row>
    <x:row r="8" ht="31" customHeight="1">
      <x:c r="A8" s="20" t="str">
        <x:v>Independent specimens</x:v>
      </x:c>
      <x:c r="B8" s="21" t="str">
        <x:v>12; IDs 1-12. Specimen 3 was tested twice.</x:v>
      </x:c>
    </x:row>
    <x:row r="9" ht="31" customHeight="1">
      <x:c r="A9" s="20" t="str">
        <x:v>First-test outcomes</x:v>
      </x:c>
      <x:c r="B9" s="21" t="str">
        <x:v>6 failures and 6 runouts. The dependent retest adds one failure; not a 13th independent specimen.</x:v>
      </x:c>
    </x:row>
    <x:row r="10" ht="31" customHeight="1">
      <x:c r="A10" s="20" t="str">
        <x:v>Load and process</x:v>
      </x:c>
      <x:c r="B10" s="21" t="str">
        <x:v>SLM AlSi10Mg; turned after fabrication; no heat/mechanical treatment stated; constant-amplitude stress range; R=-1.</x:v>
      </x:c>
    </x:row>
    <x:row r="11" ht="31" customHeight="1">
      <x:c r="A11" s="20" t="str">
        <x:v>Life/censoring</x:v>
      </x:c>
      <x:c r="B11" s="21" t="str">
        <x:v>N in Table 1 is observed cycles. Runout means right-censored at that row's N, never a failure at N. Authors state a 2e6 classification threshold, but recorded stop cycles vary.</x:v>
      </x:c>
    </x:row>
    <x:row r="12" ht="31" customHeight="1">
      <x:c r="A12" s="20" t="str">
        <x:v>Pretest features</x:v>
      </x:c>
      <x:c r="B12" s="21" t="str">
        <x:v>Table 2 pretest CT: critical candidate defect selected by maximum reported deltaK. Do not substitute postmortem fracture descriptors from Table 3.</x:v>
      </x:c>
    </x:row>
    <x:row r="13" ht="31" customHeight="1">
      <x:c r="A13" s="20" t="str">
        <x:v>Retest handling</x:v>
      </x:c>
      <x:c r="B13" s="21" t="str">
        <x:v>Specimen 3 episode 2 is dependent on its prior runout; no repeat CT is reported. Exclude from independent primary training.</x:v>
      </x:c>
    </x:row>
    <x:row r="14" ht="31" customHeight="1">
      <x:c r="A14" s="22" t="str">
        <x:v>Geometry audit</x:v>
      </x:c>
      <x:c r="B14" s="23" t="str">
        <x:v>Equation 10 and r=sqrt(area)/sqrt(pi) yield Y=0.50 for IDs 2 and 5, whereas Table 2 prints 0.65. Published values are preserved; derived Y, deltaK require source verification.</x:v>
      </x:c>
    </x:row>
    <x:row r="15" ht="31" customHeight="1">
      <x:c r="A15" s="22" t="str">
        <x:v>Unit audit</x:v>
      </x:c>
      <x:c r="B15" s="23" t="str">
        <x:v>Table 2 labels d as dimensionless [–], although Eq. 8 defines equivalent diameter. Keep numeric values as reported; verify physical unit before using d.</x:v>
      </x:c>
    </x:row>
    <x:row r="16" ht="31" customHeight="1">
      <x:c r="A16" s="22" t="str">
        <x:v>Source status</x:v>
      </x:c>
      <x:c r="B16" s="23" t="str">
        <x:v>Provisional. Original Romano 2018 full paper is not in supplied Drive folder; verify the specimen table against it before final inclusion or numerical model fitting.</x:v>
      </x:c>
    </x:row>
    <x:row r="17" ht="31" customHeight="1">
      <x:c r="A17" s="20" t="str">
        <x:v>Data pool rule</x:v>
      </x:c>
      <x:c r="B17" s="21" t="str">
        <x:v>Do not add the Romano and Tognan tables as separate cohorts. Their 12 specimens share one experimental origin.</x:v>
      </x:c>
    </x:row>
    <x:row r="18" ht="31" customHeight="1">
      <x:c r="A18" s="24" t="str">
        <x:v>Journal-quality scope</x:v>
      </x:c>
      <x:c r="B18" s="25" t="str">
        <x:v>No fixed SCI/Q1 minimum row count exists. A single 12-specimen cohort is a pilot/check set, insufficient by itself for a generalizable new ML algorithm.</x:v>
      </x:c>
    </x:row>
    <x:row r="19" ht="31" customHeight="1">
      <x:c r="A19" s="20" t="str">
        <x:v>Next evidence test</x:v>
      </x:c>
      <x:c r="B19" s="21" t="str">
        <x:v>Expand to independent experimental campaigns, preserve failure/runout definitions, avoid cohort leakage, and evaluate on held-out studies; generate synthetic rows only from training folds and label them separately.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8" hidden="0" customWidth="1"/>
    <x:col min="4" max="4" width="17" hidden="0" customWidth="1"/>
    <x:col min="5" max="5" width="17" hidden="0" customWidth="1"/>
    <x:col min="6" max="6" width="19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7" hidden="0" customWidth="1"/>
    <x:col min="16" max="16" width="17" hidden="0" customWidth="1"/>
    <x:col min="17" max="17" width="17" hidden="0" customWidth="1"/>
    <x:col min="18" max="18" width="24" hidden="0" customWidth="1"/>
    <x:col min="19" max="19" width="31" hidden="0" customWidth="1"/>
    <x:col min="20" max="20" width="29" hidden="0" customWidth="1"/>
    <x:col min="21" max="21" width="39" hidden="0" customWidth="1"/>
    <x:col min="22" max="22" width="39" hidden="0" customWidth="1"/>
    <x:col min="23" max="23" width="80" hidden="0" customWidth="1"/>
  </x:cols>
  <x:sheetData>
    <x:row r="1" ht="34" customHeight="1">
      <x:c r="A1" s="5" t="str">
        <x:v>specimen_id</x:v>
      </x:c>
      <x:c r="B1" s="5" t="str">
        <x:v>episode_no</x:v>
      </x:c>
      <x:c r="C1" s="5" t="str">
        <x:v>test_history</x:v>
      </x:c>
      <x:c r="D1" s="5" t="str">
        <x:v>delta_sigma_MPa</x:v>
      </x:c>
      <x:c r="E1" s="5" t="str">
        <x:v>sigma_a_MPa_calc</x:v>
      </x:c>
      <x:c r="F1" s="5" t="str">
        <x:v>observed_cycles</x:v>
      </x:c>
      <x:c r="G1" s="5" t="str">
        <x:v>outcome_reported</x:v>
      </x:c>
      <x:c r="H1" s="5" t="str">
        <x:v>event_failure_1</x:v>
      </x:c>
      <x:c r="I1" s="5" t="str">
        <x:v>stress_ratio_R</x:v>
      </x:c>
      <x:c r="J1" s="5" t="str">
        <x:v>ct_sqrt_area_um</x:v>
      </x:c>
      <x:c r="K1" s="5" t="str">
        <x:v>ct_h_um</x:v>
      </x:c>
      <x:c r="L1" s="5" t="str">
        <x:v>ct_d_published</x:v>
      </x:c>
      <x:c r="M1" s="5" t="str">
        <x:v>ct_sphericity</x:v>
      </x:c>
      <x:c r="N1" s="5" t="str">
        <x:v>Y_published</x:v>
      </x:c>
      <x:c r="O1" s="5" t="str">
        <x:v>deltaK_published_MPa_sqrt_m</x:v>
      </x:c>
      <x:c r="P1" s="5" t="str">
        <x:v>h_over_r_calc</x:v>
      </x:c>
      <x:c r="Q1" s="5" t="str">
        <x:v>Y_from_eq10_calc</x:v>
      </x:c>
      <x:c r="R1" s="5" t="str">
        <x:v>Y_check</x:v>
      </x:c>
      <x:c r="S1" s="5" t="str">
        <x:v>analysis_status</x:v>
      </x:c>
      <x:c r="T1" s="5" t="str">
        <x:v>source_location</x:v>
      </x:c>
      <x:c r="U1" s="5" t="str">
        <x:v>experimental_source_doi</x:v>
      </x:c>
      <x:c r="V1" s="5" t="str">
        <x:v>reporting_source_doi</x:v>
      </x:c>
      <x:c r="W1" s="5" t="str">
        <x:v>record_note</x:v>
      </x:c>
    </x:row>
    <x:row r="2" ht="29" customHeight="1">
      <x:c r="A2" s="6" t="n">
        <x:v>1</x:v>
      </x:c>
      <x:c r="B2" s="6" t="n">
        <x:v>1</x:v>
      </x:c>
      <x:c r="C2" s="6" t="str">
        <x:v>First reported exposure</x:v>
      </x:c>
      <x:c r="D2" s="7" t="n">
        <x:v>295.4</x:v>
      </x:c>
      <x:c r="E2" s="7" t="n">
        <x:f>D2/2</x:f>
        <x:v>147.7</x:v>
      </x:c>
      <x:c r="F2" s="8" t="n">
        <x:v>46255</x:v>
      </x:c>
      <x:c r="G2" s="6" t="str">
        <x:v>Failed</x:v>
      </x:c>
      <x:c r="H2" s="6" t="n">
        <x:v>1</x:v>
      </x:c>
      <x:c r="I2" s="6" t="n">
        <x:v>-1</x:v>
      </x:c>
      <x:c r="J2" s="7" t="n">
        <x:v>214.2</x:v>
      </x:c>
      <x:c r="K2" s="7" t="n">
        <x:v>110.9</x:v>
      </x:c>
      <x:c r="L2" s="7" t="n">
        <x:v>186.7</x:v>
      </x:c>
      <x:c r="M2" s="9" t="n">
        <x:v>0.35</x:v>
      </x:c>
      <x:c r="N2" s="9" t="n">
        <x:v>0.65</x:v>
      </x:c>
      <x:c r="O2" s="10" t="n">
        <x:v>5</x:v>
      </x:c>
      <x:c r="P2" s="10" t="n">
        <x:f>IF(OR(J2="",K2=""),"",K2/(J2/SQRT(PI())))</x:f>
        <x:v>0.917671018045853</x:v>
      </x:c>
      <x:c r="Q2" s="10" t="n">
        <x:f>IF(P2="","",IF(P2&lt;1.25,0.65,0.5))</x:f>
        <x:v>0.65</x:v>
      </x:c>
      <x:c r="R2" s="6" t="str">
        <x:f>IF(Q2="","No repeat CT",IF(ABS(Q2-N2)&gt;0.0001,"Review published Y","Matches Eq. 10"))</x:f>
        <x:v>Matches Eq. 10</x:v>
      </x:c>
      <x:c r="S2" s="6" t="str">
        <x:v>Provisional: verify Romano 2018</x:v>
      </x:c>
      <x:c r="T2" s="6" t="str">
        <x:v>Tognan Tables 1-2, PDF pp. 4-5</x:v>
      </x:c>
      <x:c r="U2" s="6" t="str">
        <x:v>10.1016/j.engfracmech.2017.11.002</x:v>
      </x:c>
      <x:c r="V2" s="6" t="str">
        <x:v>10.1016/j.cma.2023.116521</x:v>
      </x:c>
      <x:c r="W2" s="6" t="str">
        <x:v>CT features refer to the pretest maximum-deltaK defect, not a proven crack initiator.</x:v>
      </x:c>
    </x:row>
    <x:row r="3" ht="29" customHeight="1">
      <x:c r="A3" s="6" t="n">
        <x:v>2</x:v>
      </x:c>
      <x:c r="B3" s="6" t="n">
        <x:v>1</x:v>
      </x:c>
      <x:c r="C3" s="6" t="str">
        <x:v>First reported exposure</x:v>
      </x:c>
      <x:c r="D3" s="7" t="n">
        <x:v>400</x:v>
      </x:c>
      <x:c r="E3" s="7" t="n">
        <x:f>D3/2</x:f>
        <x:v>200</x:v>
      </x:c>
      <x:c r="F3" s="8" t="n">
        <x:v>474</x:v>
      </x:c>
      <x:c r="G3" s="6" t="str">
        <x:v>Failed</x:v>
      </x:c>
      <x:c r="H3" s="6" t="n">
        <x:v>1</x:v>
      </x:c>
      <x:c r="I3" s="6" t="n">
        <x:v>-1</x:v>
      </x:c>
      <x:c r="J3" s="7" t="n">
        <x:v>275</x:v>
      </x:c>
      <x:c r="K3" s="7" t="n">
        <x:v>308.8</x:v>
      </x:c>
      <x:c r="L3" s="7" t="n">
        <x:v>256.5</x:v>
      </x:c>
      <x:c r="M3" s="9" t="n">
        <x:v>0.27</x:v>
      </x:c>
      <x:c r="N3" s="16" t="n">
        <x:v>0.65</x:v>
      </x:c>
      <x:c r="O3" s="17" t="n">
        <x:v>7.6</x:v>
      </x:c>
      <x:c r="P3" s="17" t="n">
        <x:f>IF(OR(J3="",K3=""),"",K3/(J3/SQRT(PI())))</x:f>
        <x:v>1.99030454239863</x:v>
      </x:c>
      <x:c r="Q3" s="17" t="n">
        <x:f>IF(P3="","",IF(P3&lt;1.25,0.65,0.5))</x:f>
        <x:v>0.5</x:v>
      </x:c>
      <x:c r="R3" s="18" t="str">
        <x:f>IF(Q3="","No repeat CT",IF(ABS(Q3-N3)&gt;0.0001,"Review published Y","Matches Eq. 10"))</x:f>
        <x:v>Review published Y</x:v>
      </x:c>
      <x:c r="S3" s="6" t="str">
        <x:v>Provisional: verify Romano 2018</x:v>
      </x:c>
      <x:c r="T3" s="6" t="str">
        <x:v>Tognan Tables 1-2, PDF pp. 4-5</x:v>
      </x:c>
      <x:c r="U3" s="6" t="str">
        <x:v>10.1016/j.engfracmech.2017.11.002</x:v>
      </x:c>
      <x:c r="V3" s="6" t="str">
        <x:v>10.1016/j.cma.2023.116521</x:v>
      </x:c>
      <x:c r="W3" s="6" t="str">
        <x:v>CT features refer to the pretest maximum-deltaK defect, not a proven crack initiator. Published Y=0.65 conflicts with Eq. 10 using the tabulated h and sqrt(area).</x:v>
      </x:c>
    </x:row>
    <x:row r="4" ht="29" customHeight="1">
      <x:c r="A4" s="6" t="n">
        <x:v>3</x:v>
      </x:c>
      <x:c r="B4" s="6" t="n">
        <x:v>1</x:v>
      </x:c>
      <x:c r="C4" s="6" t="str">
        <x:v>First reported exposure</x:v>
      </x:c>
      <x:c r="D4" s="7" t="n">
        <x:v>220</x:v>
      </x:c>
      <x:c r="E4" s="7" t="n">
        <x:f>D4/2</x:f>
        <x:v>110</x:v>
      </x:c>
      <x:c r="F4" s="8" t="n">
        <x:v>8889311</x:v>
      </x:c>
      <x:c r="G4" s="6" t="str">
        <x:v>Runout</x:v>
      </x:c>
      <x:c r="H4" s="6" t="n">
        <x:v>0</x:v>
      </x:c>
      <x:c r="I4" s="6" t="n">
        <x:v>-1</x:v>
      </x:c>
      <x:c r="J4" s="7" t="n">
        <x:v>283.4</x:v>
      </x:c>
      <x:c r="K4" s="7" t="n">
        <x:v>134.3</x:v>
      </x:c>
      <x:c r="L4" s="7" t="n">
        <x:v>253</x:v>
      </x:c>
      <x:c r="M4" s="9" t="n">
        <x:v>0.25</x:v>
      </x:c>
      <x:c r="N4" s="9" t="n">
        <x:v>0.65</x:v>
      </x:c>
      <x:c r="O4" s="10" t="n">
        <x:v>4.3</x:v>
      </x:c>
      <x:c r="P4" s="10" t="n">
        <x:f>IF(OR(J4="",K4=""),"",K4/(J4/SQRT(PI())))</x:f>
        <x:v>0.8399454910960156</x:v>
      </x:c>
      <x:c r="Q4" s="10" t="n">
        <x:f>IF(P4="","",IF(P4&lt;1.25,0.65,0.5))</x:f>
        <x:v>0.65</x:v>
      </x:c>
      <x:c r="R4" s="6" t="str">
        <x:f>IF(Q4="","No repeat CT",IF(ABS(Q4-N4)&gt;0.0001,"Review published Y","Matches Eq. 10"))</x:f>
        <x:v>Matches Eq. 10</x:v>
      </x:c>
      <x:c r="S4" s="6" t="str">
        <x:v>Provisional: verify Romano 2018</x:v>
      </x:c>
      <x:c r="T4" s="6" t="str">
        <x:v>Tognan Tables 1-2, PDF pp. 4-5</x:v>
      </x:c>
      <x:c r="U4" s="6" t="str">
        <x:v>10.1016/j.engfracmech.2017.11.002</x:v>
      </x:c>
      <x:c r="V4" s="6" t="str">
        <x:v>10.1016/j.cma.2023.116521</x:v>
      </x:c>
      <x:c r="W4" s="6" t="str">
        <x:v>CT features refer to the pretest maximum-deltaK defect, not a proven crack initiator.</x:v>
      </x:c>
    </x:row>
    <x:row r="5" ht="29" customHeight="1">
      <x:c r="A5" s="6" t="n">
        <x:v>3</x:v>
      </x:c>
      <x:c r="B5" s="6" t="n">
        <x:v>2</x:v>
      </x:c>
      <x:c r="C5" s="6" t="str">
        <x:v>Retest after prior runout</x:v>
      </x:c>
      <x:c r="D5" s="11" t="n">
        <x:v>360</x:v>
      </x:c>
      <x:c r="E5" s="11" t="n">
        <x:f>D5/2</x:f>
        <x:v>180</x:v>
      </x:c>
      <x:c r="F5" s="12" t="n">
        <x:v>3432</x:v>
      </x:c>
      <x:c r="G5" s="13" t="str">
        <x:v>Failed</x:v>
      </x:c>
      <x:c r="H5" s="13" t="n">
        <x:v>1</x:v>
      </x:c>
      <x:c r="I5" s="13" t="n">
        <x:v>-1</x:v>
      </x:c>
      <x:c r="J5" s="11"/>
      <x:c r="K5" s="11"/>
      <x:c r="L5" s="11"/>
      <x:c r="M5" s="14"/>
      <x:c r="N5" s="14"/>
      <x:c r="O5" s="15"/>
      <x:c r="P5" s="15" t="str">
        <x:f>IF(OR(J5="",K5=""),"",K5/(J5/SQRT(PI())))</x:f>
      </x:c>
      <x:c r="Q5" s="15" t="str">
        <x:f>IF(P5="","",IF(P5&lt;1.25,0.65,0.5))</x:f>
      </x:c>
      <x:c r="R5" s="13" t="str">
        <x:f>IF(Q5="","No repeat CT",IF(ABS(Q5-N5)&gt;0.0001,"Review published Y","Matches Eq. 10"))</x:f>
        <x:v>No repeat CT</x:v>
      </x:c>
      <x:c r="S5" s="13" t="str">
        <x:v>Exclude: dependent retest</x:v>
      </x:c>
      <x:c r="T5" s="13" t="str">
        <x:v>Tognan Table 1, PDF p. 4</x:v>
      </x:c>
      <x:c r="U5" s="13" t="str">
        <x:v>10.1016/j.engfracmech.2017.11.002</x:v>
      </x:c>
      <x:c r="V5" s="13" t="str">
        <x:v>10.1016/j.cma.2023.116521</x:v>
      </x:c>
      <x:c r="W5" s="13" t="str">
        <x:v>Same specimen as episode 1 after a 8,889,311-cycle runout; no new CT scan reported; exclude from independent-specimen training.</x:v>
      </x:c>
    </x:row>
    <x:row r="6" ht="29" customHeight="1">
      <x:c r="A6" s="6" t="n">
        <x:v>4</x:v>
      </x:c>
      <x:c r="B6" s="6" t="n">
        <x:v>1</x:v>
      </x:c>
      <x:c r="C6" s="6" t="str">
        <x:v>First reported exposure</x:v>
      </x:c>
      <x:c r="D6" s="7" t="n">
        <x:v>156</x:v>
      </x:c>
      <x:c r="E6" s="7" t="n">
        <x:f>D6/2</x:f>
        <x:v>78</x:v>
      </x:c>
      <x:c r="F6" s="8" t="n">
        <x:v>3795336</x:v>
      </x:c>
      <x:c r="G6" s="6" t="str">
        <x:v>Runout</x:v>
      </x:c>
      <x:c r="H6" s="6" t="n">
        <x:v>0</x:v>
      </x:c>
      <x:c r="I6" s="6" t="n">
        <x:v>-1</x:v>
      </x:c>
      <x:c r="J6" s="7" t="n">
        <x:v>334.5</x:v>
      </x:c>
      <x:c r="K6" s="7" t="n">
        <x:v>233.8</x:v>
      </x:c>
      <x:c r="L6" s="7" t="n">
        <x:v>227.6</x:v>
      </x:c>
      <x:c r="M6" s="9" t="n">
        <x:v>0.32</x:v>
      </x:c>
      <x:c r="N6" s="9" t="n">
        <x:v>0.65</x:v>
      </x:c>
      <x:c r="O6" s="10" t="n">
        <x:v>3.3</x:v>
      </x:c>
      <x:c r="P6" s="10" t="n">
        <x:f>IF(OR(J6="",K6=""),"",K6/(J6/SQRT(PI())))</x:f>
        <x:v>1.2388631101396401</x:v>
      </x:c>
      <x:c r="Q6" s="10" t="n">
        <x:f>IF(P6="","",IF(P6&lt;1.25,0.65,0.5))</x:f>
        <x:v>0.65</x:v>
      </x:c>
      <x:c r="R6" s="6" t="str">
        <x:f>IF(Q6="","No repeat CT",IF(ABS(Q6-N6)&gt;0.0001,"Review published Y","Matches Eq. 10"))</x:f>
        <x:v>Matches Eq. 10</x:v>
      </x:c>
      <x:c r="S6" s="6" t="str">
        <x:v>Provisional: verify Romano 2018</x:v>
      </x:c>
      <x:c r="T6" s="6" t="str">
        <x:v>Tognan Tables 1-2, PDF pp. 4-5</x:v>
      </x:c>
      <x:c r="U6" s="6" t="str">
        <x:v>10.1016/j.engfracmech.2017.11.002</x:v>
      </x:c>
      <x:c r="V6" s="6" t="str">
        <x:v>10.1016/j.cma.2023.116521</x:v>
      </x:c>
      <x:c r="W6" s="6" t="str">
        <x:v>CT features refer to the pretest maximum-deltaK defect, not a proven crack initiator.</x:v>
      </x:c>
    </x:row>
    <x:row r="7" ht="29" customHeight="1">
      <x:c r="A7" s="6" t="n">
        <x:v>5</x:v>
      </x:c>
      <x:c r="B7" s="6" t="n">
        <x:v>1</x:v>
      </x:c>
      <x:c r="C7" s="6" t="str">
        <x:v>First reported exposure</x:v>
      </x:c>
      <x:c r="D7" s="7" t="n">
        <x:v>301.6</x:v>
      </x:c>
      <x:c r="E7" s="7" t="n">
        <x:f>D7/2</x:f>
        <x:v>150.8</x:v>
      </x:c>
      <x:c r="F7" s="8" t="n">
        <x:v>39538</x:v>
      </x:c>
      <x:c r="G7" s="6" t="str">
        <x:v>Failed</x:v>
      </x:c>
      <x:c r="H7" s="6" t="n">
        <x:v>1</x:v>
      </x:c>
      <x:c r="I7" s="6" t="n">
        <x:v>-1</x:v>
      </x:c>
      <x:c r="J7" s="7" t="n">
        <x:v>379.1</x:v>
      </x:c>
      <x:c r="K7" s="7" t="n">
        <x:v>269.5</x:v>
      </x:c>
      <x:c r="L7" s="7" t="n">
        <x:v>260.9</x:v>
      </x:c>
      <x:c r="M7" s="9" t="n">
        <x:v>0.29</x:v>
      </x:c>
      <x:c r="N7" s="16" t="n">
        <x:v>0.65</x:v>
      </x:c>
      <x:c r="O7" s="17" t="n">
        <x:v>6.8</x:v>
      </x:c>
      <x:c r="P7" s="17" t="n">
        <x:f>IF(OR(J7="",K7=""),"",K7/(J7/SQRT(PI())))</x:f>
        <x:v>1.2600272034266329</x:v>
      </x:c>
      <x:c r="Q7" s="17" t="n">
        <x:f>IF(P7="","",IF(P7&lt;1.25,0.65,0.5))</x:f>
        <x:v>0.5</x:v>
      </x:c>
      <x:c r="R7" s="18" t="str">
        <x:f>IF(Q7="","No repeat CT",IF(ABS(Q7-N7)&gt;0.0001,"Review published Y","Matches Eq. 10"))</x:f>
        <x:v>Review published Y</x:v>
      </x:c>
      <x:c r="S7" s="6" t="str">
        <x:v>Provisional: verify Romano 2018</x:v>
      </x:c>
      <x:c r="T7" s="6" t="str">
        <x:v>Tognan Tables 1-2, PDF pp. 4-5</x:v>
      </x:c>
      <x:c r="U7" s="6" t="str">
        <x:v>10.1016/j.engfracmech.2017.11.002</x:v>
      </x:c>
      <x:c r="V7" s="6" t="str">
        <x:v>10.1016/j.cma.2023.116521</x:v>
      </x:c>
      <x:c r="W7" s="6" t="str">
        <x:v>CT features refer to the pretest maximum-deltaK defect, not a proven crack initiator. Published Y=0.65 conflicts with Eq. 10 using the tabulated h and sqrt(area).</x:v>
      </x:c>
    </x:row>
    <x:row r="8" ht="29" customHeight="1">
      <x:c r="A8" s="6" t="n">
        <x:v>6</x:v>
      </x:c>
      <x:c r="B8" s="6" t="n">
        <x:v>1</x:v>
      </x:c>
      <x:c r="C8" s="6" t="str">
        <x:v>First reported exposure</x:v>
      </x:c>
      <x:c r="D8" s="7" t="n">
        <x:v>378.3</x:v>
      </x:c>
      <x:c r="E8" s="7" t="n">
        <x:f>D8/2</x:f>
        <x:v>189.15</x:v>
      </x:c>
      <x:c r="F8" s="8" t="n">
        <x:v>11465</x:v>
      </x:c>
      <x:c r="G8" s="6" t="str">
        <x:v>Failed</x:v>
      </x:c>
      <x:c r="H8" s="6" t="n">
        <x:v>1</x:v>
      </x:c>
      <x:c r="I8" s="6" t="n">
        <x:v>-1</x:v>
      </x:c>
      <x:c r="J8" s="7" t="n">
        <x:v>429.2</x:v>
      </x:c>
      <x:c r="K8" s="7" t="n">
        <x:v>222.8</x:v>
      </x:c>
      <x:c r="L8" s="7" t="n">
        <x:v>340.6</x:v>
      </x:c>
      <x:c r="M8" s="9" t="n">
        <x:v>0.23</x:v>
      </x:c>
      <x:c r="N8" s="9" t="n">
        <x:v>0.65</x:v>
      </x:c>
      <x:c r="O8" s="10" t="n">
        <x:v>9</x:v>
      </x:c>
      <x:c r="P8" s="10" t="n">
        <x:f>IF(OR(J8="",K8=""),"",K8/(J8/SQRT(PI())))</x:f>
        <x:v>0.9200902096499277</x:v>
      </x:c>
      <x:c r="Q8" s="10" t="n">
        <x:f>IF(P8="","",IF(P8&lt;1.25,0.65,0.5))</x:f>
        <x:v>0.65</x:v>
      </x:c>
      <x:c r="R8" s="6" t="str">
        <x:f>IF(Q8="","No repeat CT",IF(ABS(Q8-N8)&gt;0.0001,"Review published Y","Matches Eq. 10"))</x:f>
        <x:v>Matches Eq. 10</x:v>
      </x:c>
      <x:c r="S8" s="6" t="str">
        <x:v>Provisional: verify Romano 2018</x:v>
      </x:c>
      <x:c r="T8" s="6" t="str">
        <x:v>Tognan Tables 1-2, PDF pp. 4-5</x:v>
      </x:c>
      <x:c r="U8" s="6" t="str">
        <x:v>10.1016/j.engfracmech.2017.11.002</x:v>
      </x:c>
      <x:c r="V8" s="6" t="str">
        <x:v>10.1016/j.cma.2023.116521</x:v>
      </x:c>
      <x:c r="W8" s="6" t="str">
        <x:v>CT features refer to the pretest maximum-deltaK defect, not a proven crack initiator.</x:v>
      </x:c>
    </x:row>
    <x:row r="9" ht="29" customHeight="1">
      <x:c r="A9" s="6" t="n">
        <x:v>7</x:v>
      </x:c>
      <x:c r="B9" s="6" t="n">
        <x:v>1</x:v>
      </x:c>
      <x:c r="C9" s="6" t="str">
        <x:v>First reported exposure</x:v>
      </x:c>
      <x:c r="D9" s="7" t="n">
        <x:v>298.5</x:v>
      </x:c>
      <x:c r="E9" s="7" t="n">
        <x:f>D9/2</x:f>
        <x:v>149.25</x:v>
      </x:c>
      <x:c r="F9" s="8" t="n">
        <x:v>19806</x:v>
      </x:c>
      <x:c r="G9" s="6" t="str">
        <x:v>Failed</x:v>
      </x:c>
      <x:c r="H9" s="6" t="n">
        <x:v>1</x:v>
      </x:c>
      <x:c r="I9" s="6" t="n">
        <x:v>-1</x:v>
      </x:c>
      <x:c r="J9" s="7" t="n">
        <x:v>443.3</x:v>
      </x:c>
      <x:c r="K9" s="7" t="n">
        <x:v>207.6</x:v>
      </x:c>
      <x:c r="L9" s="7" t="n">
        <x:v>401.8</x:v>
      </x:c>
      <x:c r="M9" s="9" t="n">
        <x:v>0.21</x:v>
      </x:c>
      <x:c r="N9" s="9" t="n">
        <x:v>0.65</x:v>
      </x:c>
      <x:c r="O9" s="10" t="n">
        <x:v>7.2</x:v>
      </x:c>
      <x:c r="P9" s="10" t="n">
        <x:f>IF(OR(J9="",K9=""),"",K9/(J9/SQRT(PI())))</x:f>
        <x:v>0.8300505739859804</x:v>
      </x:c>
      <x:c r="Q9" s="10" t="n">
        <x:f>IF(P9="","",IF(P9&lt;1.25,0.65,0.5))</x:f>
        <x:v>0.65</x:v>
      </x:c>
      <x:c r="R9" s="6" t="str">
        <x:f>IF(Q9="","No repeat CT",IF(ABS(Q9-N9)&gt;0.0001,"Review published Y","Matches Eq. 10"))</x:f>
        <x:v>Matches Eq. 10</x:v>
      </x:c>
      <x:c r="S9" s="6" t="str">
        <x:v>Provisional: verify Romano 2018</x:v>
      </x:c>
      <x:c r="T9" s="6" t="str">
        <x:v>Tognan Tables 1-2, PDF pp. 4-5</x:v>
      </x:c>
      <x:c r="U9" s="6" t="str">
        <x:v>10.1016/j.engfracmech.2017.11.002</x:v>
      </x:c>
      <x:c r="V9" s="6" t="str">
        <x:v>10.1016/j.cma.2023.116521</x:v>
      </x:c>
      <x:c r="W9" s="6" t="str">
        <x:v>CT features refer to the pretest maximum-deltaK defect, not a proven crack initiator.</x:v>
      </x:c>
    </x:row>
    <x:row r="10" ht="29" customHeight="1">
      <x:c r="A10" s="6" t="n">
        <x:v>8</x:v>
      </x:c>
      <x:c r="B10" s="6" t="n">
        <x:v>1</x:v>
      </x:c>
      <x:c r="C10" s="6" t="str">
        <x:v>First reported exposure</x:v>
      </x:c>
      <x:c r="D10" s="7" t="n">
        <x:v>156</x:v>
      </x:c>
      <x:c r="E10" s="7" t="n">
        <x:f>D10/2</x:f>
        <x:v>78</x:v>
      </x:c>
      <x:c r="F10" s="8" t="n">
        <x:v>20000000</x:v>
      </x:c>
      <x:c r="G10" s="6" t="str">
        <x:v>Runout</x:v>
      </x:c>
      <x:c r="H10" s="6" t="n">
        <x:v>0</x:v>
      </x:c>
      <x:c r="I10" s="6" t="n">
        <x:v>-1</x:v>
      </x:c>
      <x:c r="J10" s="7" t="n">
        <x:v>458.2</x:v>
      </x:c>
      <x:c r="K10" s="7" t="n">
        <x:v>214.2</x:v>
      </x:c>
      <x:c r="L10" s="7" t="n">
        <x:v>341.4</x:v>
      </x:c>
      <x:c r="M10" s="9" t="n">
        <x:v>0.24</x:v>
      </x:c>
      <x:c r="N10" s="9" t="n">
        <x:v>0.65</x:v>
      </x:c>
      <x:c r="O10" s="10" t="n">
        <x:v>3.8</x:v>
      </x:c>
      <x:c r="P10" s="10" t="n">
        <x:f>IF(OR(J10="",K10=""),"",K10/(J10/SQRT(PI())))</x:f>
        <x:v>0.8285892947707583</x:v>
      </x:c>
      <x:c r="Q10" s="10" t="n">
        <x:f>IF(P10="","",IF(P10&lt;1.25,0.65,0.5))</x:f>
        <x:v>0.65</x:v>
      </x:c>
      <x:c r="R10" s="6" t="str">
        <x:f>IF(Q10="","No repeat CT",IF(ABS(Q10-N10)&gt;0.0001,"Review published Y","Matches Eq. 10"))</x:f>
        <x:v>Matches Eq. 10</x:v>
      </x:c>
      <x:c r="S10" s="6" t="str">
        <x:v>Provisional: verify Romano 2018</x:v>
      </x:c>
      <x:c r="T10" s="6" t="str">
        <x:v>Tognan Tables 1-2, PDF pp. 4-5</x:v>
      </x:c>
      <x:c r="U10" s="6" t="str">
        <x:v>10.1016/j.engfracmech.2017.11.002</x:v>
      </x:c>
      <x:c r="V10" s="6" t="str">
        <x:v>10.1016/j.cma.2023.116521</x:v>
      </x:c>
      <x:c r="W10" s="6" t="str">
        <x:v>CT features refer to the pretest maximum-deltaK defect, not a proven crack initiator.</x:v>
      </x:c>
    </x:row>
    <x:row r="11" ht="29" customHeight="1">
      <x:c r="A11" s="6" t="n">
        <x:v>9</x:v>
      </x:c>
      <x:c r="B11" s="6" t="n">
        <x:v>1</x:v>
      </x:c>
      <x:c r="C11" s="6" t="str">
        <x:v>First reported exposure</x:v>
      </x:c>
      <x:c r="D11" s="7" t="n">
        <x:v>180</x:v>
      </x:c>
      <x:c r="E11" s="7" t="n">
        <x:f>D11/2</x:f>
        <x:v>90</x:v>
      </x:c>
      <x:c r="F11" s="8" t="n">
        <x:v>11352768</x:v>
      </x:c>
      <x:c r="G11" s="6" t="str">
        <x:v>Runout</x:v>
      </x:c>
      <x:c r="H11" s="6" t="n">
        <x:v>0</x:v>
      </x:c>
      <x:c r="I11" s="6" t="n">
        <x:v>-1</x:v>
      </x:c>
      <x:c r="J11" s="7" t="n">
        <x:v>470</x:v>
      </x:c>
      <x:c r="K11" s="7" t="n">
        <x:v>222.3</x:v>
      </x:c>
      <x:c r="L11" s="7" t="n">
        <x:v>342.6</x:v>
      </x:c>
      <x:c r="M11" s="9" t="n">
        <x:v>0.25</x:v>
      </x:c>
      <x:c r="N11" s="9" t="n">
        <x:v>0.65</x:v>
      </x:c>
      <x:c r="O11" s="10" t="n">
        <x:v>4.5</x:v>
      </x:c>
      <x:c r="P11" s="10" t="n">
        <x:f>IF(OR(J11="",K11=""),"",K11/(J11/SQRT(PI())))</x:f>
        <x:v>0.8383329596942471</x:v>
      </x:c>
      <x:c r="Q11" s="10" t="n">
        <x:f>IF(P11="","",IF(P11&lt;1.25,0.65,0.5))</x:f>
        <x:v>0.65</x:v>
      </x:c>
      <x:c r="R11" s="6" t="str">
        <x:f>IF(Q11="","No repeat CT",IF(ABS(Q11-N11)&gt;0.0001,"Review published Y","Matches Eq. 10"))</x:f>
        <x:v>Matches Eq. 10</x:v>
      </x:c>
      <x:c r="S11" s="6" t="str">
        <x:v>Provisional: verify Romano 2018</x:v>
      </x:c>
      <x:c r="T11" s="6" t="str">
        <x:v>Tognan Tables 1-2, PDF pp. 4-5</x:v>
      </x:c>
      <x:c r="U11" s="6" t="str">
        <x:v>10.1016/j.engfracmech.2017.11.002</x:v>
      </x:c>
      <x:c r="V11" s="6" t="str">
        <x:v>10.1016/j.cma.2023.116521</x:v>
      </x:c>
      <x:c r="W11" s="6" t="str">
        <x:v>CT features refer to the pretest maximum-deltaK defect, not a proven crack initiator.</x:v>
      </x:c>
    </x:row>
    <x:row r="12" ht="29" customHeight="1">
      <x:c r="A12" s="6" t="n">
        <x:v>10</x:v>
      </x:c>
      <x:c r="B12" s="6" t="n">
        <x:v>1</x:v>
      </x:c>
      <x:c r="C12" s="6" t="str">
        <x:v>First reported exposure</x:v>
      </x:c>
      <x:c r="D12" s="7" t="n">
        <x:v>220</x:v>
      </x:c>
      <x:c r="E12" s="7" t="n">
        <x:f>D12/2</x:f>
        <x:v>110</x:v>
      </x:c>
      <x:c r="F12" s="8" t="n">
        <x:v>2622640</x:v>
      </x:c>
      <x:c r="G12" s="6" t="str">
        <x:v>Runout</x:v>
      </x:c>
      <x:c r="H12" s="6" t="n">
        <x:v>0</x:v>
      </x:c>
      <x:c r="I12" s="6" t="n">
        <x:v>-1</x:v>
      </x:c>
      <x:c r="J12" s="7" t="n">
        <x:v>497.8</x:v>
      </x:c>
      <x:c r="K12" s="7" t="n">
        <x:v>310.1</x:v>
      </x:c>
      <x:c r="L12" s="7" t="n">
        <x:v>418.3</x:v>
      </x:c>
      <x:c r="M12" s="9" t="n">
        <x:v>0.17</x:v>
      </x:c>
      <x:c r="N12" s="9" t="n">
        <x:v>0.65</x:v>
      </x:c>
      <x:c r="O12" s="10" t="n">
        <x:v>5.7</x:v>
      </x:c>
      <x:c r="P12" s="10" t="n">
        <x:f>IF(OR(J12="",K12=""),"",K12/(J12/SQRT(PI())))</x:f>
        <x:v>1.104134068231821</x:v>
      </x:c>
      <x:c r="Q12" s="10" t="n">
        <x:f>IF(P12="","",IF(P12&lt;1.25,0.65,0.5))</x:f>
        <x:v>0.65</x:v>
      </x:c>
      <x:c r="R12" s="6" t="str">
        <x:f>IF(Q12="","No repeat CT",IF(ABS(Q12-N12)&gt;0.0001,"Review published Y","Matches Eq. 10"))</x:f>
        <x:v>Matches Eq. 10</x:v>
      </x:c>
      <x:c r="S12" s="6" t="str">
        <x:v>Provisional: verify Romano 2018</x:v>
      </x:c>
      <x:c r="T12" s="6" t="str">
        <x:v>Tognan Tables 1-2, PDF pp. 4-5</x:v>
      </x:c>
      <x:c r="U12" s="6" t="str">
        <x:v>10.1016/j.engfracmech.2017.11.002</x:v>
      </x:c>
      <x:c r="V12" s="6" t="str">
        <x:v>10.1016/j.cma.2023.116521</x:v>
      </x:c>
      <x:c r="W12" s="6" t="str">
        <x:v>CT features refer to the pretest maximum-deltaK defect, not a proven crack initiator.</x:v>
      </x:c>
    </x:row>
    <x:row r="13" ht="29" customHeight="1">
      <x:c r="A13" s="6" t="n">
        <x:v>11</x:v>
      </x:c>
      <x:c r="B13" s="6" t="n">
        <x:v>1</x:v>
      </x:c>
      <x:c r="C13" s="6" t="str">
        <x:v>First reported exposure</x:v>
      </x:c>
      <x:c r="D13" s="7" t="n">
        <x:v>180</x:v>
      </x:c>
      <x:c r="E13" s="7" t="n">
        <x:f>D13/2</x:f>
        <x:v>90</x:v>
      </x:c>
      <x:c r="F13" s="8" t="n">
        <x:v>237485</x:v>
      </x:c>
      <x:c r="G13" s="6" t="str">
        <x:v>Failed</x:v>
      </x:c>
      <x:c r="H13" s="6" t="n">
        <x:v>1</x:v>
      </x:c>
      <x:c r="I13" s="6" t="n">
        <x:v>-1</x:v>
      </x:c>
      <x:c r="J13" s="7" t="n">
        <x:v>568.8</x:v>
      </x:c>
      <x:c r="K13" s="7" t="n">
        <x:v>332</x:v>
      </x:c>
      <x:c r="L13" s="7" t="n">
        <x:v>398.6</x:v>
      </x:c>
      <x:c r="M13" s="9" t="n">
        <x:v>0.2</x:v>
      </x:c>
      <x:c r="N13" s="9" t="n">
        <x:v>0.65</x:v>
      </x:c>
      <x:c r="O13" s="10" t="n">
        <x:v>4.9</x:v>
      </x:c>
      <x:c r="P13" s="10" t="n">
        <x:f>IF(OR(J13="",K13=""),"",K13/(J13/SQRT(PI())))</x:f>
        <x:v>1.0345546387141902</x:v>
      </x:c>
      <x:c r="Q13" s="10" t="n">
        <x:f>IF(P13="","",IF(P13&lt;1.25,0.65,0.5))</x:f>
        <x:v>0.65</x:v>
      </x:c>
      <x:c r="R13" s="6" t="str">
        <x:f>IF(Q13="","No repeat CT",IF(ABS(Q13-N13)&gt;0.0001,"Review published Y","Matches Eq. 10"))</x:f>
        <x:v>Matches Eq. 10</x:v>
      </x:c>
      <x:c r="S13" s="6" t="str">
        <x:v>Provisional: verify Romano 2018</x:v>
      </x:c>
      <x:c r="T13" s="6" t="str">
        <x:v>Tognan Tables 1-2, PDF pp. 4-5</x:v>
      </x:c>
      <x:c r="U13" s="6" t="str">
        <x:v>10.1016/j.engfracmech.2017.11.002</x:v>
      </x:c>
      <x:c r="V13" s="6" t="str">
        <x:v>10.1016/j.cma.2023.116521</x:v>
      </x:c>
      <x:c r="W13" s="6" t="str">
        <x:v>CT features refer to the pretest maximum-deltaK defect, not a proven crack initiator.</x:v>
      </x:c>
    </x:row>
    <x:row r="14" ht="29" customHeight="1">
      <x:c r="A14" s="6" t="n">
        <x:v>12</x:v>
      </x:c>
      <x:c r="B14" s="6" t="n">
        <x:v>1</x:v>
      </x:c>
      <x:c r="C14" s="6" t="str">
        <x:v>First reported exposure</x:v>
      </x:c>
      <x:c r="D14" s="7" t="n">
        <x:v>200</x:v>
      </x:c>
      <x:c r="E14" s="7" t="n">
        <x:f>D14/2</x:f>
        <x:v>100</x:v>
      </x:c>
      <x:c r="F14" s="8" t="n">
        <x:v>15242310</x:v>
      </x:c>
      <x:c r="G14" s="6" t="str">
        <x:v>Runout</x:v>
      </x:c>
      <x:c r="H14" s="6" t="n">
        <x:v>0</x:v>
      </x:c>
      <x:c r="I14" s="6" t="n">
        <x:v>-1</x:v>
      </x:c>
      <x:c r="J14" s="7" t="n">
        <x:v>572</x:v>
      </x:c>
      <x:c r="K14" s="7" t="n">
        <x:v>373.7</x:v>
      </x:c>
      <x:c r="L14" s="7" t="n">
        <x:v>410.2</x:v>
      </x:c>
      <x:c r="M14" s="9" t="n">
        <x:v>0.21</x:v>
      </x:c>
      <x:c r="N14" s="9" t="n">
        <x:v>0.65</x:v>
      </x:c>
      <x:c r="O14" s="10" t="n">
        <x:v>5.5</x:v>
      </x:c>
      <x:c r="P14" s="10" t="n">
        <x:f>IF(OR(J14="",K14=""),"",K14/(J14/SQRT(PI())))</x:f>
        <x:v>1.1579825246213136</x:v>
      </x:c>
      <x:c r="Q14" s="10" t="n">
        <x:f>IF(P14="","",IF(P14&lt;1.25,0.65,0.5))</x:f>
        <x:v>0.65</x:v>
      </x:c>
      <x:c r="R14" s="6" t="str">
        <x:f>IF(Q14="","No repeat CT",IF(ABS(Q14-N14)&gt;0.0001,"Review published Y","Matches Eq. 10"))</x:f>
        <x:v>Matches Eq. 10</x:v>
      </x:c>
      <x:c r="S14" s="6" t="str">
        <x:v>Provisional: verify Romano 2018</x:v>
      </x:c>
      <x:c r="T14" s="6" t="str">
        <x:v>Tognan Tables 1-2, PDF pp. 4-5</x:v>
      </x:c>
      <x:c r="U14" s="6" t="str">
        <x:v>10.1016/j.engfracmech.2017.11.002</x:v>
      </x:c>
      <x:c r="V14" s="6" t="str">
        <x:v>10.1016/j.cma.2023.116521</x:v>
      </x:c>
      <x:c r="W14" s="6" t="str">
        <x:v>CT features refer to the pretest maximum-deltaK defect, not a proven crack initiator.</x:v>
      </x:c>
    </x:row>
  </x:sheetData>
  <x:pageMargins left="0.7" right="0.7" top="0.75" bottom="0.75" header="0.3" footer="0.3"/>
  <x:tableParts count="1">
    <x:tablePart xmlns:r="http://schemas.openxmlformats.org/officeDocument/2006/relationships" r:id="R249b38c987c64045"/>
  </x:tableParts>
</x:worksheet>
</file>